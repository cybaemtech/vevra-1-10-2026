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esktop\New folder\"/>
    </mc:Choice>
  </mc:AlternateContent>
  <xr:revisionPtr revIDLastSave="0" documentId="13_ncr:1_{1AC958E8-C33B-4BF1-8F9C-FB45EF466E7D}" xr6:coauthVersionLast="47" xr6:coauthVersionMax="47" xr10:uidLastSave="{00000000-0000-0000-0000-000000000000}"/>
  <bookViews>
    <workbookView xWindow="-108" yWindow="-108" windowWidth="23256" windowHeight="12456" activeTab="4" xr2:uid="{3CBA9DB3-C4F8-4486-918C-B05DDE5D0BA8}"/>
  </bookViews>
  <sheets>
    <sheet name="EQP" sheetId="1" r:id="rId1"/>
    <sheet name="RFQ &amp; Orientation" sheetId="2" r:id="rId2"/>
    <sheet name="Summary" sheetId="4" state="hidden" r:id="rId3"/>
    <sheet name="Summary1" sheetId="3" state="hidden" r:id="rId4"/>
    <sheet name="Partwise Orientation Summary" sheetId="5" r:id="rId5"/>
  </sheets>
  <definedNames>
    <definedName name="_xlnm._FilterDatabase" localSheetId="4" hidden="1">'Partwise Orientation Summary'!$A$3:$CM$66</definedName>
    <definedName name="_xlnm._FilterDatabase" localSheetId="3" hidden="1">Summary1!$A$2:$CM$65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31" i="2"/>
  <c r="A32" i="2"/>
  <c r="A33" i="2"/>
  <c r="A34" i="2"/>
  <c r="A35" i="2"/>
  <c r="A36" i="2"/>
  <c r="A37" i="2"/>
  <c r="A38" i="2"/>
  <c r="A39" i="2"/>
  <c r="A40" i="2"/>
  <c r="A51" i="2"/>
  <c r="A52" i="2"/>
  <c r="A53" i="2"/>
  <c r="A54" i="2"/>
  <c r="A55" i="2"/>
  <c r="A56" i="2"/>
  <c r="A57" i="2"/>
  <c r="A58" i="2"/>
  <c r="A59" i="2"/>
  <c r="A60" i="2"/>
  <c r="A71" i="2"/>
  <c r="A72" i="2"/>
  <c r="A73" i="2"/>
  <c r="A74" i="2"/>
  <c r="A75" i="2"/>
  <c r="A76" i="2"/>
  <c r="A77" i="2"/>
  <c r="A78" i="2"/>
  <c r="A79" i="2"/>
  <c r="A80" i="2"/>
  <c r="A91" i="2"/>
  <c r="A92" i="2"/>
  <c r="A93" i="2"/>
  <c r="A94" i="2"/>
  <c r="A95" i="2"/>
  <c r="A96" i="2"/>
  <c r="A97" i="2"/>
  <c r="A98" i="2"/>
  <c r="A99" i="2"/>
  <c r="A100" i="2"/>
  <c r="A111" i="2"/>
  <c r="A112" i="2"/>
  <c r="A113" i="2"/>
  <c r="A114" i="2"/>
  <c r="A115" i="2"/>
  <c r="A116" i="2"/>
  <c r="A117" i="2"/>
  <c r="A118" i="2"/>
  <c r="A119" i="2"/>
  <c r="A120" i="2"/>
  <c r="A131" i="2"/>
  <c r="A132" i="2"/>
  <c r="A133" i="2"/>
  <c r="A134" i="2"/>
  <c r="A135" i="2"/>
  <c r="A136" i="2"/>
  <c r="A137" i="2"/>
  <c r="A138" i="2"/>
  <c r="A139" i="2"/>
  <c r="A140" i="2"/>
  <c r="A151" i="2"/>
  <c r="A152" i="2"/>
  <c r="A153" i="2"/>
  <c r="A154" i="2"/>
  <c r="A155" i="2"/>
  <c r="A156" i="2"/>
  <c r="A157" i="2"/>
  <c r="A158" i="2"/>
  <c r="A159" i="2"/>
  <c r="A16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" i="2"/>
  <c r="BH170" i="2"/>
  <c r="BG170" i="2"/>
  <c r="BF170" i="2"/>
  <c r="AY170" i="2"/>
  <c r="AX170" i="2"/>
  <c r="AW170" i="2"/>
  <c r="AP170" i="2"/>
  <c r="AO170" i="2"/>
  <c r="AN170" i="2"/>
  <c r="AG170" i="2"/>
  <c r="AF170" i="2"/>
  <c r="AE170" i="2"/>
  <c r="X170" i="2"/>
  <c r="W170" i="2"/>
  <c r="V170" i="2"/>
  <c r="O170" i="2"/>
  <c r="N170" i="2"/>
  <c r="M170" i="2"/>
  <c r="BH169" i="2"/>
  <c r="BG169" i="2"/>
  <c r="BF169" i="2"/>
  <c r="AY169" i="2"/>
  <c r="AX169" i="2"/>
  <c r="AW169" i="2"/>
  <c r="AP169" i="2"/>
  <c r="AO169" i="2"/>
  <c r="AN169" i="2"/>
  <c r="AG169" i="2"/>
  <c r="AF169" i="2"/>
  <c r="AE169" i="2"/>
  <c r="X169" i="2"/>
  <c r="W169" i="2"/>
  <c r="V169" i="2"/>
  <c r="O169" i="2"/>
  <c r="N169" i="2"/>
  <c r="M169" i="2"/>
  <c r="BH168" i="2"/>
  <c r="BG168" i="2"/>
  <c r="BF168" i="2"/>
  <c r="AY168" i="2"/>
  <c r="AX168" i="2"/>
  <c r="AW168" i="2"/>
  <c r="AP168" i="2"/>
  <c r="AO168" i="2"/>
  <c r="AN168" i="2"/>
  <c r="AG168" i="2"/>
  <c r="AF168" i="2"/>
  <c r="AE168" i="2"/>
  <c r="X168" i="2"/>
  <c r="W168" i="2"/>
  <c r="V168" i="2"/>
  <c r="O168" i="2"/>
  <c r="N168" i="2"/>
  <c r="M168" i="2"/>
  <c r="BH167" i="2"/>
  <c r="BG167" i="2"/>
  <c r="BF167" i="2"/>
  <c r="AY167" i="2"/>
  <c r="AX167" i="2"/>
  <c r="AW167" i="2"/>
  <c r="AP167" i="2"/>
  <c r="AO167" i="2"/>
  <c r="AN167" i="2"/>
  <c r="AG167" i="2"/>
  <c r="AF167" i="2"/>
  <c r="AE167" i="2"/>
  <c r="X167" i="2"/>
  <c r="W167" i="2"/>
  <c r="V167" i="2"/>
  <c r="O167" i="2"/>
  <c r="N167" i="2"/>
  <c r="M167" i="2"/>
  <c r="BH166" i="2"/>
  <c r="BG166" i="2"/>
  <c r="BF166" i="2"/>
  <c r="AY166" i="2"/>
  <c r="AX166" i="2"/>
  <c r="AW166" i="2"/>
  <c r="AP166" i="2"/>
  <c r="AO166" i="2"/>
  <c r="AN166" i="2"/>
  <c r="AG166" i="2"/>
  <c r="AF166" i="2"/>
  <c r="AE166" i="2"/>
  <c r="X166" i="2"/>
  <c r="W166" i="2"/>
  <c r="V166" i="2"/>
  <c r="O166" i="2"/>
  <c r="N166" i="2"/>
  <c r="M166" i="2"/>
  <c r="BH165" i="2"/>
  <c r="BG165" i="2"/>
  <c r="BF165" i="2"/>
  <c r="AY165" i="2"/>
  <c r="AX165" i="2"/>
  <c r="AW165" i="2"/>
  <c r="AP165" i="2"/>
  <c r="AO165" i="2"/>
  <c r="AN165" i="2"/>
  <c r="AG165" i="2"/>
  <c r="AF165" i="2"/>
  <c r="AE165" i="2"/>
  <c r="X165" i="2"/>
  <c r="W165" i="2"/>
  <c r="V165" i="2"/>
  <c r="O165" i="2"/>
  <c r="N165" i="2"/>
  <c r="M165" i="2"/>
  <c r="BH164" i="2"/>
  <c r="BG164" i="2"/>
  <c r="BF164" i="2"/>
  <c r="AX144" i="2"/>
  <c r="AW144" i="2"/>
  <c r="AP144" i="2"/>
  <c r="AO144" i="2"/>
  <c r="AN144" i="2"/>
  <c r="AG144" i="2"/>
  <c r="AF144" i="2"/>
  <c r="AE144" i="2"/>
  <c r="X144" i="2"/>
  <c r="W144" i="2"/>
  <c r="V144" i="2"/>
  <c r="O144" i="2"/>
  <c r="N144" i="2"/>
  <c r="M144" i="2"/>
  <c r="BH143" i="2"/>
  <c r="BG143" i="2"/>
  <c r="BF143" i="2"/>
  <c r="AY143" i="2"/>
  <c r="AX143" i="2"/>
  <c r="AW143" i="2"/>
  <c r="AP143" i="2"/>
  <c r="AO143" i="2"/>
  <c r="AN143" i="2"/>
  <c r="AG143" i="2"/>
  <c r="AF143" i="2"/>
  <c r="AE143" i="2"/>
  <c r="X143" i="2"/>
  <c r="W143" i="2"/>
  <c r="V143" i="2"/>
  <c r="O143" i="2"/>
  <c r="N143" i="2"/>
  <c r="M143" i="2"/>
  <c r="BH142" i="2"/>
  <c r="BG142" i="2"/>
  <c r="BF142" i="2"/>
  <c r="AY142" i="2"/>
  <c r="AX142" i="2"/>
  <c r="AW142" i="2"/>
  <c r="AP142" i="2"/>
  <c r="AO142" i="2"/>
  <c r="AN142" i="2"/>
  <c r="AG142" i="2"/>
  <c r="AF142" i="2"/>
  <c r="AE142" i="2"/>
  <c r="X142" i="2"/>
  <c r="W142" i="2"/>
  <c r="V142" i="2"/>
  <c r="O142" i="2"/>
  <c r="N142" i="2"/>
  <c r="M142" i="2"/>
  <c r="BH141" i="2"/>
  <c r="BG141" i="2"/>
  <c r="BF141" i="2"/>
  <c r="AY141" i="2"/>
  <c r="AX141" i="2"/>
  <c r="AW141" i="2"/>
  <c r="AP141" i="2"/>
  <c r="AO141" i="2"/>
  <c r="AN141" i="2"/>
  <c r="AG141" i="2"/>
  <c r="AF141" i="2"/>
  <c r="AE141" i="2"/>
  <c r="X141" i="2"/>
  <c r="W141" i="2"/>
  <c r="V141" i="2"/>
  <c r="O141" i="2"/>
  <c r="N141" i="2"/>
  <c r="M141" i="2"/>
  <c r="BH130" i="2"/>
  <c r="BG130" i="2"/>
  <c r="BF130" i="2"/>
  <c r="AY130" i="2"/>
  <c r="AX130" i="2"/>
  <c r="AW130" i="2"/>
  <c r="AP130" i="2"/>
  <c r="AO130" i="2"/>
  <c r="AN130" i="2"/>
  <c r="AG130" i="2"/>
  <c r="AF130" i="2"/>
  <c r="AE130" i="2"/>
  <c r="X130" i="2"/>
  <c r="W130" i="2"/>
  <c r="V130" i="2"/>
  <c r="O105" i="2"/>
  <c r="N105" i="2"/>
  <c r="M105" i="2"/>
  <c r="BH104" i="2"/>
  <c r="BG104" i="2"/>
  <c r="BF104" i="2"/>
  <c r="AY104" i="2"/>
  <c r="AX104" i="2"/>
  <c r="AW104" i="2"/>
  <c r="AP104" i="2"/>
  <c r="AO104" i="2"/>
  <c r="AN104" i="2"/>
  <c r="AG104" i="2"/>
  <c r="AF104" i="2"/>
  <c r="AE104" i="2"/>
  <c r="X104" i="2"/>
  <c r="W104" i="2"/>
  <c r="V104" i="2"/>
  <c r="O104" i="2"/>
  <c r="N104" i="2"/>
  <c r="M104" i="2"/>
  <c r="BH103" i="2"/>
  <c r="BG103" i="2"/>
  <c r="BF103" i="2"/>
  <c r="AY103" i="2"/>
  <c r="AX103" i="2"/>
  <c r="AW103" i="2"/>
  <c r="AP103" i="2"/>
  <c r="AO103" i="2"/>
  <c r="AN103" i="2"/>
  <c r="AG103" i="2"/>
  <c r="AF103" i="2"/>
  <c r="AE103" i="2"/>
  <c r="X103" i="2"/>
  <c r="W103" i="2"/>
  <c r="V103" i="2"/>
  <c r="O103" i="2"/>
  <c r="N103" i="2"/>
  <c r="M103" i="2"/>
  <c r="BH102" i="2"/>
  <c r="BG102" i="2"/>
  <c r="BF102" i="2"/>
  <c r="AY102" i="2"/>
  <c r="AX102" i="2"/>
  <c r="AW102" i="2"/>
  <c r="AP102" i="2"/>
  <c r="AO102" i="2"/>
  <c r="AN102" i="2"/>
  <c r="AG102" i="2"/>
  <c r="AF102" i="2"/>
  <c r="AE102" i="2"/>
  <c r="X102" i="2"/>
  <c r="W102" i="2"/>
  <c r="V102" i="2"/>
  <c r="O102" i="2"/>
  <c r="N102" i="2"/>
  <c r="M102" i="2"/>
  <c r="BH101" i="2"/>
  <c r="BG101" i="2"/>
  <c r="BJ101" i="2" s="1"/>
  <c r="BF101" i="2"/>
  <c r="BI101" i="2" s="1"/>
  <c r="BL101" i="2" s="1"/>
  <c r="AY101" i="2"/>
  <c r="AX101" i="2"/>
  <c r="AW101" i="2"/>
  <c r="AP101" i="2"/>
  <c r="AO101" i="2"/>
  <c r="AN101" i="2"/>
  <c r="AG101" i="2"/>
  <c r="AF101" i="2"/>
  <c r="AE101" i="2"/>
  <c r="X101" i="2"/>
  <c r="W101" i="2"/>
  <c r="V101" i="2"/>
  <c r="O101" i="2"/>
  <c r="N101" i="2"/>
  <c r="M101" i="2"/>
  <c r="BH90" i="2"/>
  <c r="BG90" i="2"/>
  <c r="BF90" i="2"/>
  <c r="AY90" i="2"/>
  <c r="AX90" i="2"/>
  <c r="AW90" i="2"/>
  <c r="AP90" i="2"/>
  <c r="AO90" i="2"/>
  <c r="AN90" i="2"/>
  <c r="AG90" i="2"/>
  <c r="AF90" i="2"/>
  <c r="AE90" i="2"/>
  <c r="X90" i="2"/>
  <c r="W90" i="2"/>
  <c r="V90" i="2"/>
  <c r="O90" i="2"/>
  <c r="N90" i="2"/>
  <c r="M90" i="2"/>
  <c r="BH89" i="2"/>
  <c r="BG89" i="2"/>
  <c r="BF89" i="2"/>
  <c r="AY89" i="2"/>
  <c r="AX89" i="2"/>
  <c r="AW89" i="2"/>
  <c r="AP89" i="2"/>
  <c r="AO89" i="2"/>
  <c r="AN89" i="2"/>
  <c r="AG89" i="2"/>
  <c r="AF89" i="2"/>
  <c r="AE89" i="2"/>
  <c r="X89" i="2"/>
  <c r="W89" i="2"/>
  <c r="V89" i="2"/>
  <c r="O89" i="2"/>
  <c r="N89" i="2"/>
  <c r="M89" i="2"/>
  <c r="BH88" i="2"/>
  <c r="BG88" i="2"/>
  <c r="BF88" i="2"/>
  <c r="AY88" i="2"/>
  <c r="AX88" i="2"/>
  <c r="AW88" i="2"/>
  <c r="AP88" i="2"/>
  <c r="AO88" i="2"/>
  <c r="AN88" i="2"/>
  <c r="AG88" i="2"/>
  <c r="AF88" i="2"/>
  <c r="AE88" i="2"/>
  <c r="X88" i="2"/>
  <c r="W88" i="2"/>
  <c r="V88" i="2"/>
  <c r="O88" i="2"/>
  <c r="N88" i="2"/>
  <c r="M88" i="2"/>
  <c r="BH87" i="2"/>
  <c r="BG87" i="2"/>
  <c r="BF87" i="2"/>
  <c r="AY87" i="2"/>
  <c r="AX87" i="2"/>
  <c r="AW87" i="2"/>
  <c r="AP87" i="2"/>
  <c r="AO87" i="2"/>
  <c r="AN87" i="2"/>
  <c r="AG87" i="2"/>
  <c r="AF87" i="2"/>
  <c r="AE87" i="2"/>
  <c r="X87" i="2"/>
  <c r="W87" i="2"/>
  <c r="V87" i="2"/>
  <c r="O87" i="2"/>
  <c r="N87" i="2"/>
  <c r="M87" i="2"/>
  <c r="BH86" i="2"/>
  <c r="BG86" i="2"/>
  <c r="BF86" i="2"/>
  <c r="AY86" i="2"/>
  <c r="AX86" i="2"/>
  <c r="AW86" i="2"/>
  <c r="AP86" i="2"/>
  <c r="AO86" i="2"/>
  <c r="AN86" i="2"/>
  <c r="AG86" i="2"/>
  <c r="AF86" i="2"/>
  <c r="AE86" i="2"/>
  <c r="X86" i="2"/>
  <c r="W86" i="2"/>
  <c r="V86" i="2"/>
  <c r="O86" i="2"/>
  <c r="N86" i="2"/>
  <c r="M86" i="2"/>
  <c r="BH85" i="2"/>
  <c r="BG85" i="2"/>
  <c r="BF85" i="2"/>
  <c r="AY85" i="2"/>
  <c r="AX85" i="2"/>
  <c r="AW85" i="2"/>
  <c r="AP85" i="2"/>
  <c r="AO85" i="2"/>
  <c r="AN85" i="2"/>
  <c r="AG85" i="2"/>
  <c r="AF85" i="2"/>
  <c r="AE85" i="2"/>
  <c r="X85" i="2"/>
  <c r="W85" i="2"/>
  <c r="V85" i="2"/>
  <c r="O85" i="2"/>
  <c r="N85" i="2"/>
  <c r="M85" i="2"/>
  <c r="BH84" i="2"/>
  <c r="BG84" i="2"/>
  <c r="BF84" i="2"/>
  <c r="AY84" i="2"/>
  <c r="AX84" i="2"/>
  <c r="AW84" i="2"/>
  <c r="AP84" i="2"/>
  <c r="AO84" i="2"/>
  <c r="AN84" i="2"/>
  <c r="AG84" i="2"/>
  <c r="AF84" i="2"/>
  <c r="AE84" i="2"/>
  <c r="X84" i="2"/>
  <c r="W84" i="2"/>
  <c r="V84" i="2"/>
  <c r="O84" i="2"/>
  <c r="N84" i="2"/>
  <c r="M84" i="2"/>
  <c r="BH83" i="2"/>
  <c r="BG83" i="2"/>
  <c r="BF83" i="2"/>
  <c r="AY83" i="2"/>
  <c r="AX83" i="2"/>
  <c r="AW83" i="2"/>
  <c r="AP83" i="2"/>
  <c r="AO83" i="2"/>
  <c r="AN83" i="2"/>
  <c r="AG83" i="2"/>
  <c r="AF83" i="2"/>
  <c r="AE83" i="2"/>
  <c r="X83" i="2"/>
  <c r="W83" i="2"/>
  <c r="V83" i="2"/>
  <c r="O83" i="2"/>
  <c r="N83" i="2"/>
  <c r="M83" i="2"/>
  <c r="BH82" i="2"/>
  <c r="BG82" i="2"/>
  <c r="L161" i="2"/>
  <c r="L141" i="2"/>
  <c r="L142" i="2" s="1"/>
  <c r="L143" i="2" s="1"/>
  <c r="L144" i="2" s="1"/>
  <c r="L121" i="2"/>
  <c r="L101" i="2"/>
  <c r="L102" i="2" s="1"/>
  <c r="L103" i="2" s="1"/>
  <c r="L104" i="2" s="1"/>
  <c r="L105" i="2" s="1"/>
  <c r="L81" i="2"/>
  <c r="L61" i="2"/>
  <c r="L41" i="2"/>
  <c r="L21" i="2"/>
  <c r="L2" i="2"/>
  <c r="B22" i="2"/>
  <c r="C22" i="2"/>
  <c r="C42" i="2" s="1"/>
  <c r="C62" i="2" s="1"/>
  <c r="C82" i="2" s="1"/>
  <c r="C102" i="2" s="1"/>
  <c r="C122" i="2" s="1"/>
  <c r="C142" i="2" s="1"/>
  <c r="C162" i="2" s="1"/>
  <c r="D22" i="2"/>
  <c r="D42" i="2" s="1"/>
  <c r="D62" i="2" s="1"/>
  <c r="D82" i="2" s="1"/>
  <c r="D102" i="2" s="1"/>
  <c r="D122" i="2" s="1"/>
  <c r="D142" i="2" s="1"/>
  <c r="D162" i="2" s="1"/>
  <c r="E22" i="2"/>
  <c r="E42" i="2" s="1"/>
  <c r="E62" i="2" s="1"/>
  <c r="E82" i="2" s="1"/>
  <c r="E102" i="2" s="1"/>
  <c r="E122" i="2" s="1"/>
  <c r="E142" i="2" s="1"/>
  <c r="E162" i="2" s="1"/>
  <c r="F22" i="2"/>
  <c r="F42" i="2" s="1"/>
  <c r="F62" i="2" s="1"/>
  <c r="F82" i="2" s="1"/>
  <c r="F102" i="2" s="1"/>
  <c r="F122" i="2" s="1"/>
  <c r="F142" i="2" s="1"/>
  <c r="F162" i="2" s="1"/>
  <c r="G22" i="2"/>
  <c r="G42" i="2" s="1"/>
  <c r="G62" i="2" s="1"/>
  <c r="G82" i="2" s="1"/>
  <c r="G102" i="2" s="1"/>
  <c r="G122" i="2" s="1"/>
  <c r="G142" i="2" s="1"/>
  <c r="G162" i="2" s="1"/>
  <c r="H22" i="2"/>
  <c r="H42" i="2" s="1"/>
  <c r="H62" i="2" s="1"/>
  <c r="H82" i="2" s="1"/>
  <c r="H102" i="2" s="1"/>
  <c r="H122" i="2" s="1"/>
  <c r="H142" i="2" s="1"/>
  <c r="H162" i="2" s="1"/>
  <c r="I22" i="2"/>
  <c r="I42" i="2" s="1"/>
  <c r="I62" i="2" s="1"/>
  <c r="I82" i="2" s="1"/>
  <c r="I102" i="2" s="1"/>
  <c r="I122" i="2" s="1"/>
  <c r="I142" i="2" s="1"/>
  <c r="I162" i="2" s="1"/>
  <c r="K22" i="2"/>
  <c r="K42" i="2" s="1"/>
  <c r="K62" i="2" s="1"/>
  <c r="K82" i="2" s="1"/>
  <c r="K102" i="2" s="1"/>
  <c r="K122" i="2" s="1"/>
  <c r="K142" i="2" s="1"/>
  <c r="K162" i="2" s="1"/>
  <c r="B23" i="2"/>
  <c r="C23" i="2"/>
  <c r="C43" i="2" s="1"/>
  <c r="C63" i="2" s="1"/>
  <c r="C83" i="2" s="1"/>
  <c r="C103" i="2" s="1"/>
  <c r="C123" i="2" s="1"/>
  <c r="C143" i="2" s="1"/>
  <c r="C163" i="2" s="1"/>
  <c r="D23" i="2"/>
  <c r="D43" i="2" s="1"/>
  <c r="D63" i="2" s="1"/>
  <c r="D83" i="2" s="1"/>
  <c r="D103" i="2" s="1"/>
  <c r="D123" i="2" s="1"/>
  <c r="D143" i="2" s="1"/>
  <c r="D163" i="2" s="1"/>
  <c r="E23" i="2"/>
  <c r="E43" i="2" s="1"/>
  <c r="E63" i="2" s="1"/>
  <c r="E83" i="2" s="1"/>
  <c r="E103" i="2" s="1"/>
  <c r="E123" i="2" s="1"/>
  <c r="E143" i="2" s="1"/>
  <c r="E163" i="2" s="1"/>
  <c r="F23" i="2"/>
  <c r="F43" i="2" s="1"/>
  <c r="F63" i="2" s="1"/>
  <c r="F83" i="2" s="1"/>
  <c r="F103" i="2" s="1"/>
  <c r="F123" i="2" s="1"/>
  <c r="F143" i="2" s="1"/>
  <c r="F163" i="2" s="1"/>
  <c r="G23" i="2"/>
  <c r="G43" i="2" s="1"/>
  <c r="G63" i="2" s="1"/>
  <c r="G83" i="2" s="1"/>
  <c r="G103" i="2" s="1"/>
  <c r="G123" i="2" s="1"/>
  <c r="G143" i="2" s="1"/>
  <c r="G163" i="2" s="1"/>
  <c r="H23" i="2"/>
  <c r="H43" i="2" s="1"/>
  <c r="H63" i="2" s="1"/>
  <c r="H83" i="2" s="1"/>
  <c r="H103" i="2" s="1"/>
  <c r="H123" i="2" s="1"/>
  <c r="H143" i="2" s="1"/>
  <c r="H163" i="2" s="1"/>
  <c r="I23" i="2"/>
  <c r="I43" i="2" s="1"/>
  <c r="I63" i="2" s="1"/>
  <c r="I83" i="2" s="1"/>
  <c r="I103" i="2" s="1"/>
  <c r="I123" i="2" s="1"/>
  <c r="I143" i="2" s="1"/>
  <c r="I163" i="2" s="1"/>
  <c r="K23" i="2"/>
  <c r="K43" i="2" s="1"/>
  <c r="K63" i="2" s="1"/>
  <c r="K83" i="2" s="1"/>
  <c r="K103" i="2" s="1"/>
  <c r="K123" i="2" s="1"/>
  <c r="K143" i="2" s="1"/>
  <c r="K163" i="2" s="1"/>
  <c r="B24" i="2"/>
  <c r="C24" i="2"/>
  <c r="C44" i="2" s="1"/>
  <c r="C64" i="2" s="1"/>
  <c r="C84" i="2" s="1"/>
  <c r="C104" i="2" s="1"/>
  <c r="C124" i="2" s="1"/>
  <c r="C144" i="2" s="1"/>
  <c r="C164" i="2" s="1"/>
  <c r="D24" i="2"/>
  <c r="D44" i="2" s="1"/>
  <c r="D64" i="2" s="1"/>
  <c r="D84" i="2" s="1"/>
  <c r="D104" i="2" s="1"/>
  <c r="D124" i="2" s="1"/>
  <c r="D144" i="2" s="1"/>
  <c r="D164" i="2" s="1"/>
  <c r="E24" i="2"/>
  <c r="E44" i="2" s="1"/>
  <c r="E64" i="2" s="1"/>
  <c r="E84" i="2" s="1"/>
  <c r="E104" i="2" s="1"/>
  <c r="E124" i="2" s="1"/>
  <c r="E144" i="2" s="1"/>
  <c r="E164" i="2" s="1"/>
  <c r="F24" i="2"/>
  <c r="F44" i="2" s="1"/>
  <c r="F64" i="2" s="1"/>
  <c r="F84" i="2" s="1"/>
  <c r="F104" i="2" s="1"/>
  <c r="F124" i="2" s="1"/>
  <c r="F144" i="2" s="1"/>
  <c r="F164" i="2" s="1"/>
  <c r="G24" i="2"/>
  <c r="G44" i="2" s="1"/>
  <c r="G64" i="2" s="1"/>
  <c r="G84" i="2" s="1"/>
  <c r="G104" i="2" s="1"/>
  <c r="G124" i="2" s="1"/>
  <c r="G144" i="2" s="1"/>
  <c r="G164" i="2" s="1"/>
  <c r="H24" i="2"/>
  <c r="H44" i="2" s="1"/>
  <c r="H64" i="2" s="1"/>
  <c r="H84" i="2" s="1"/>
  <c r="H104" i="2" s="1"/>
  <c r="H124" i="2" s="1"/>
  <c r="H144" i="2" s="1"/>
  <c r="H164" i="2" s="1"/>
  <c r="I24" i="2"/>
  <c r="I44" i="2" s="1"/>
  <c r="I64" i="2" s="1"/>
  <c r="I84" i="2" s="1"/>
  <c r="I104" i="2" s="1"/>
  <c r="I124" i="2" s="1"/>
  <c r="I144" i="2" s="1"/>
  <c r="I164" i="2" s="1"/>
  <c r="K24" i="2"/>
  <c r="K44" i="2" s="1"/>
  <c r="K64" i="2" s="1"/>
  <c r="K84" i="2" s="1"/>
  <c r="K104" i="2" s="1"/>
  <c r="K124" i="2" s="1"/>
  <c r="K144" i="2" s="1"/>
  <c r="K164" i="2" s="1"/>
  <c r="B25" i="2"/>
  <c r="C25" i="2"/>
  <c r="C45" i="2" s="1"/>
  <c r="C65" i="2" s="1"/>
  <c r="C85" i="2" s="1"/>
  <c r="C105" i="2" s="1"/>
  <c r="C125" i="2" s="1"/>
  <c r="C145" i="2" s="1"/>
  <c r="C165" i="2" s="1"/>
  <c r="D25" i="2"/>
  <c r="D45" i="2" s="1"/>
  <c r="D65" i="2" s="1"/>
  <c r="D85" i="2" s="1"/>
  <c r="D105" i="2" s="1"/>
  <c r="D125" i="2" s="1"/>
  <c r="D145" i="2" s="1"/>
  <c r="D165" i="2" s="1"/>
  <c r="E25" i="2"/>
  <c r="E45" i="2" s="1"/>
  <c r="E65" i="2" s="1"/>
  <c r="E85" i="2" s="1"/>
  <c r="F25" i="2"/>
  <c r="F45" i="2" s="1"/>
  <c r="F65" i="2" s="1"/>
  <c r="F85" i="2" s="1"/>
  <c r="F105" i="2" s="1"/>
  <c r="F125" i="2" s="1"/>
  <c r="F145" i="2" s="1"/>
  <c r="F165" i="2" s="1"/>
  <c r="G25" i="2"/>
  <c r="G45" i="2" s="1"/>
  <c r="G65" i="2" s="1"/>
  <c r="G85" i="2" s="1"/>
  <c r="H25" i="2"/>
  <c r="H45" i="2" s="1"/>
  <c r="H65" i="2" s="1"/>
  <c r="H85" i="2" s="1"/>
  <c r="H105" i="2" s="1"/>
  <c r="H125" i="2" s="1"/>
  <c r="H145" i="2" s="1"/>
  <c r="H165" i="2" s="1"/>
  <c r="I25" i="2"/>
  <c r="I45" i="2" s="1"/>
  <c r="I65" i="2" s="1"/>
  <c r="I85" i="2" s="1"/>
  <c r="I105" i="2" s="1"/>
  <c r="I125" i="2" s="1"/>
  <c r="I145" i="2" s="1"/>
  <c r="I165" i="2" s="1"/>
  <c r="K25" i="2"/>
  <c r="K45" i="2" s="1"/>
  <c r="K65" i="2" s="1"/>
  <c r="K85" i="2" s="1"/>
  <c r="K105" i="2" s="1"/>
  <c r="K125" i="2" s="1"/>
  <c r="K145" i="2" s="1"/>
  <c r="K165" i="2" s="1"/>
  <c r="B26" i="2"/>
  <c r="C26" i="2"/>
  <c r="C46" i="2" s="1"/>
  <c r="C66" i="2" s="1"/>
  <c r="C86" i="2" s="1"/>
  <c r="C106" i="2" s="1"/>
  <c r="C126" i="2" s="1"/>
  <c r="C146" i="2" s="1"/>
  <c r="C166" i="2" s="1"/>
  <c r="D26" i="2"/>
  <c r="D46" i="2" s="1"/>
  <c r="D66" i="2" s="1"/>
  <c r="D86" i="2" s="1"/>
  <c r="D106" i="2" s="1"/>
  <c r="D126" i="2" s="1"/>
  <c r="D146" i="2" s="1"/>
  <c r="D166" i="2" s="1"/>
  <c r="E26" i="2"/>
  <c r="E46" i="2" s="1"/>
  <c r="E66" i="2" s="1"/>
  <c r="E86" i="2" s="1"/>
  <c r="F26" i="2"/>
  <c r="F46" i="2" s="1"/>
  <c r="F66" i="2" s="1"/>
  <c r="F86" i="2" s="1"/>
  <c r="G26" i="2"/>
  <c r="G46" i="2" s="1"/>
  <c r="G66" i="2" s="1"/>
  <c r="G86" i="2" s="1"/>
  <c r="H26" i="2"/>
  <c r="H46" i="2" s="1"/>
  <c r="H66" i="2" s="1"/>
  <c r="H86" i="2" s="1"/>
  <c r="H106" i="2" s="1"/>
  <c r="H126" i="2" s="1"/>
  <c r="H146" i="2" s="1"/>
  <c r="H166" i="2" s="1"/>
  <c r="I26" i="2"/>
  <c r="I46" i="2" s="1"/>
  <c r="I66" i="2" s="1"/>
  <c r="I86" i="2" s="1"/>
  <c r="I106" i="2" s="1"/>
  <c r="I126" i="2" s="1"/>
  <c r="I146" i="2" s="1"/>
  <c r="I166" i="2" s="1"/>
  <c r="K26" i="2"/>
  <c r="K46" i="2" s="1"/>
  <c r="K66" i="2" s="1"/>
  <c r="K86" i="2" s="1"/>
  <c r="K106" i="2" s="1"/>
  <c r="K126" i="2" s="1"/>
  <c r="K146" i="2" s="1"/>
  <c r="K166" i="2" s="1"/>
  <c r="B27" i="2"/>
  <c r="C27" i="2"/>
  <c r="C47" i="2" s="1"/>
  <c r="C67" i="2" s="1"/>
  <c r="C87" i="2" s="1"/>
  <c r="C107" i="2" s="1"/>
  <c r="C127" i="2" s="1"/>
  <c r="C147" i="2" s="1"/>
  <c r="C167" i="2" s="1"/>
  <c r="D27" i="2"/>
  <c r="D47" i="2" s="1"/>
  <c r="D67" i="2" s="1"/>
  <c r="D87" i="2" s="1"/>
  <c r="D107" i="2" s="1"/>
  <c r="D127" i="2" s="1"/>
  <c r="D147" i="2" s="1"/>
  <c r="D167" i="2" s="1"/>
  <c r="E27" i="2"/>
  <c r="E47" i="2" s="1"/>
  <c r="E67" i="2" s="1"/>
  <c r="E87" i="2" s="1"/>
  <c r="F27" i="2"/>
  <c r="F47" i="2" s="1"/>
  <c r="F67" i="2" s="1"/>
  <c r="F87" i="2" s="1"/>
  <c r="G27" i="2"/>
  <c r="G47" i="2" s="1"/>
  <c r="G67" i="2" s="1"/>
  <c r="G87" i="2" s="1"/>
  <c r="H27" i="2"/>
  <c r="H47" i="2" s="1"/>
  <c r="H67" i="2" s="1"/>
  <c r="H87" i="2" s="1"/>
  <c r="H107" i="2" s="1"/>
  <c r="H127" i="2" s="1"/>
  <c r="H147" i="2" s="1"/>
  <c r="H167" i="2" s="1"/>
  <c r="I27" i="2"/>
  <c r="I47" i="2" s="1"/>
  <c r="I67" i="2" s="1"/>
  <c r="I87" i="2" s="1"/>
  <c r="I107" i="2" s="1"/>
  <c r="I127" i="2" s="1"/>
  <c r="I147" i="2" s="1"/>
  <c r="I167" i="2" s="1"/>
  <c r="K27" i="2"/>
  <c r="K47" i="2" s="1"/>
  <c r="K67" i="2" s="1"/>
  <c r="K87" i="2" s="1"/>
  <c r="K107" i="2" s="1"/>
  <c r="K127" i="2" s="1"/>
  <c r="K147" i="2" s="1"/>
  <c r="K167" i="2" s="1"/>
  <c r="B28" i="2"/>
  <c r="C28" i="2"/>
  <c r="C48" i="2" s="1"/>
  <c r="C68" i="2" s="1"/>
  <c r="C88" i="2" s="1"/>
  <c r="C108" i="2" s="1"/>
  <c r="C128" i="2" s="1"/>
  <c r="C148" i="2" s="1"/>
  <c r="C168" i="2" s="1"/>
  <c r="D28" i="2"/>
  <c r="D48" i="2" s="1"/>
  <c r="D68" i="2" s="1"/>
  <c r="D88" i="2" s="1"/>
  <c r="D108" i="2" s="1"/>
  <c r="D128" i="2" s="1"/>
  <c r="D148" i="2" s="1"/>
  <c r="D168" i="2" s="1"/>
  <c r="E28" i="2"/>
  <c r="E48" i="2" s="1"/>
  <c r="E68" i="2" s="1"/>
  <c r="E88" i="2" s="1"/>
  <c r="F28" i="2"/>
  <c r="F48" i="2" s="1"/>
  <c r="F68" i="2" s="1"/>
  <c r="F88" i="2" s="1"/>
  <c r="G28" i="2"/>
  <c r="G48" i="2" s="1"/>
  <c r="G68" i="2" s="1"/>
  <c r="G88" i="2" s="1"/>
  <c r="H28" i="2"/>
  <c r="H48" i="2" s="1"/>
  <c r="H68" i="2" s="1"/>
  <c r="H88" i="2" s="1"/>
  <c r="H108" i="2" s="1"/>
  <c r="H128" i="2" s="1"/>
  <c r="H148" i="2" s="1"/>
  <c r="H168" i="2" s="1"/>
  <c r="I28" i="2"/>
  <c r="I48" i="2" s="1"/>
  <c r="I68" i="2" s="1"/>
  <c r="I88" i="2" s="1"/>
  <c r="I108" i="2" s="1"/>
  <c r="I128" i="2" s="1"/>
  <c r="I148" i="2" s="1"/>
  <c r="I168" i="2" s="1"/>
  <c r="K28" i="2"/>
  <c r="K48" i="2" s="1"/>
  <c r="K68" i="2" s="1"/>
  <c r="K88" i="2" s="1"/>
  <c r="K108" i="2" s="1"/>
  <c r="K128" i="2" s="1"/>
  <c r="K148" i="2" s="1"/>
  <c r="K168" i="2" s="1"/>
  <c r="B29" i="2"/>
  <c r="C29" i="2"/>
  <c r="C49" i="2" s="1"/>
  <c r="C69" i="2" s="1"/>
  <c r="C89" i="2" s="1"/>
  <c r="C109" i="2" s="1"/>
  <c r="C129" i="2" s="1"/>
  <c r="C149" i="2" s="1"/>
  <c r="C169" i="2" s="1"/>
  <c r="D29" i="2"/>
  <c r="D49" i="2" s="1"/>
  <c r="D69" i="2" s="1"/>
  <c r="D89" i="2" s="1"/>
  <c r="D109" i="2" s="1"/>
  <c r="D129" i="2" s="1"/>
  <c r="D149" i="2" s="1"/>
  <c r="D169" i="2" s="1"/>
  <c r="E29" i="2"/>
  <c r="E49" i="2" s="1"/>
  <c r="E69" i="2" s="1"/>
  <c r="E89" i="2" s="1"/>
  <c r="E109" i="2" s="1"/>
  <c r="E129" i="2" s="1"/>
  <c r="E149" i="2" s="1"/>
  <c r="E169" i="2" s="1"/>
  <c r="F29" i="2"/>
  <c r="F49" i="2" s="1"/>
  <c r="F69" i="2" s="1"/>
  <c r="F89" i="2" s="1"/>
  <c r="G29" i="2"/>
  <c r="G49" i="2" s="1"/>
  <c r="G69" i="2" s="1"/>
  <c r="G89" i="2" s="1"/>
  <c r="G109" i="2" s="1"/>
  <c r="G129" i="2" s="1"/>
  <c r="G149" i="2" s="1"/>
  <c r="G169" i="2" s="1"/>
  <c r="H29" i="2"/>
  <c r="H49" i="2" s="1"/>
  <c r="H69" i="2" s="1"/>
  <c r="H89" i="2" s="1"/>
  <c r="H109" i="2" s="1"/>
  <c r="H129" i="2" s="1"/>
  <c r="H149" i="2" s="1"/>
  <c r="H169" i="2" s="1"/>
  <c r="I29" i="2"/>
  <c r="I49" i="2" s="1"/>
  <c r="I69" i="2" s="1"/>
  <c r="I89" i="2" s="1"/>
  <c r="I109" i="2" s="1"/>
  <c r="I129" i="2" s="1"/>
  <c r="I149" i="2" s="1"/>
  <c r="I169" i="2" s="1"/>
  <c r="K29" i="2"/>
  <c r="K49" i="2" s="1"/>
  <c r="K69" i="2" s="1"/>
  <c r="K89" i="2" s="1"/>
  <c r="K109" i="2" s="1"/>
  <c r="K129" i="2" s="1"/>
  <c r="K149" i="2" s="1"/>
  <c r="K169" i="2" s="1"/>
  <c r="B30" i="2"/>
  <c r="C30" i="2"/>
  <c r="C50" i="2" s="1"/>
  <c r="C70" i="2" s="1"/>
  <c r="C90" i="2" s="1"/>
  <c r="C110" i="2" s="1"/>
  <c r="C130" i="2" s="1"/>
  <c r="C150" i="2" s="1"/>
  <c r="C170" i="2" s="1"/>
  <c r="D30" i="2"/>
  <c r="D50" i="2" s="1"/>
  <c r="D70" i="2" s="1"/>
  <c r="D90" i="2" s="1"/>
  <c r="D110" i="2" s="1"/>
  <c r="D130" i="2" s="1"/>
  <c r="D150" i="2" s="1"/>
  <c r="D170" i="2" s="1"/>
  <c r="E30" i="2"/>
  <c r="E50" i="2" s="1"/>
  <c r="E70" i="2" s="1"/>
  <c r="E90" i="2" s="1"/>
  <c r="E110" i="2" s="1"/>
  <c r="E130" i="2" s="1"/>
  <c r="F30" i="2"/>
  <c r="F50" i="2" s="1"/>
  <c r="F70" i="2" s="1"/>
  <c r="F90" i="2" s="1"/>
  <c r="F110" i="2" s="1"/>
  <c r="F130" i="2" s="1"/>
  <c r="G30" i="2"/>
  <c r="G50" i="2" s="1"/>
  <c r="G70" i="2" s="1"/>
  <c r="G90" i="2" s="1"/>
  <c r="G110" i="2" s="1"/>
  <c r="G130" i="2" s="1"/>
  <c r="H30" i="2"/>
  <c r="H50" i="2" s="1"/>
  <c r="H70" i="2" s="1"/>
  <c r="H90" i="2" s="1"/>
  <c r="H110" i="2" s="1"/>
  <c r="H130" i="2" s="1"/>
  <c r="H150" i="2" s="1"/>
  <c r="H170" i="2" s="1"/>
  <c r="I30" i="2"/>
  <c r="I50" i="2" s="1"/>
  <c r="I70" i="2" s="1"/>
  <c r="I90" i="2" s="1"/>
  <c r="I110" i="2" s="1"/>
  <c r="I130" i="2" s="1"/>
  <c r="I150" i="2" s="1"/>
  <c r="I170" i="2" s="1"/>
  <c r="K30" i="2"/>
  <c r="K50" i="2" s="1"/>
  <c r="K70" i="2" s="1"/>
  <c r="K90" i="2" s="1"/>
  <c r="K110" i="2" s="1"/>
  <c r="K130" i="2" s="1"/>
  <c r="K150" i="2" s="1"/>
  <c r="K170" i="2" s="1"/>
  <c r="K21" i="2"/>
  <c r="K41" i="2" s="1"/>
  <c r="K61" i="2" s="1"/>
  <c r="K81" i="2" s="1"/>
  <c r="K101" i="2" s="1"/>
  <c r="K121" i="2" s="1"/>
  <c r="K141" i="2" s="1"/>
  <c r="K161" i="2" s="1"/>
  <c r="I21" i="2"/>
  <c r="I41" i="2" s="1"/>
  <c r="I61" i="2" s="1"/>
  <c r="I81" i="2" s="1"/>
  <c r="I101" i="2" s="1"/>
  <c r="I121" i="2" s="1"/>
  <c r="I141" i="2" s="1"/>
  <c r="I161" i="2" s="1"/>
  <c r="H21" i="2"/>
  <c r="H41" i="2" s="1"/>
  <c r="H61" i="2" s="1"/>
  <c r="H81" i="2" s="1"/>
  <c r="H101" i="2" s="1"/>
  <c r="H121" i="2" s="1"/>
  <c r="H141" i="2" s="1"/>
  <c r="H161" i="2" s="1"/>
  <c r="G21" i="2"/>
  <c r="G41" i="2" s="1"/>
  <c r="G61" i="2" s="1"/>
  <c r="G81" i="2" s="1"/>
  <c r="G101" i="2" s="1"/>
  <c r="G121" i="2" s="1"/>
  <c r="G141" i="2" s="1"/>
  <c r="G161" i="2" s="1"/>
  <c r="F21" i="2"/>
  <c r="F41" i="2" s="1"/>
  <c r="F61" i="2" s="1"/>
  <c r="F81" i="2" s="1"/>
  <c r="F101" i="2" s="1"/>
  <c r="F121" i="2" s="1"/>
  <c r="F141" i="2" s="1"/>
  <c r="F161" i="2" s="1"/>
  <c r="E21" i="2"/>
  <c r="E41" i="2" s="1"/>
  <c r="E61" i="2" s="1"/>
  <c r="E81" i="2" s="1"/>
  <c r="E101" i="2" s="1"/>
  <c r="E121" i="2" s="1"/>
  <c r="E141" i="2" s="1"/>
  <c r="E161" i="2" s="1"/>
  <c r="D21" i="2"/>
  <c r="D41" i="2" s="1"/>
  <c r="D61" i="2" s="1"/>
  <c r="D81" i="2" s="1"/>
  <c r="D101" i="2" s="1"/>
  <c r="D121" i="2" s="1"/>
  <c r="D141" i="2" s="1"/>
  <c r="D161" i="2" s="1"/>
  <c r="C21" i="2"/>
  <c r="C41" i="2" s="1"/>
  <c r="C61" i="2" s="1"/>
  <c r="C81" i="2" s="1"/>
  <c r="C101" i="2" s="1"/>
  <c r="C121" i="2" s="1"/>
  <c r="C141" i="2" s="1"/>
  <c r="C161" i="2" s="1"/>
  <c r="B21" i="2"/>
  <c r="J11" i="2"/>
  <c r="J30" i="2" s="1"/>
  <c r="J50" i="2" s="1"/>
  <c r="J70" i="2" s="1"/>
  <c r="J90" i="2" s="1"/>
  <c r="J110" i="2" s="1"/>
  <c r="J130" i="2" s="1"/>
  <c r="J150" i="2" s="1"/>
  <c r="J170" i="2" s="1"/>
  <c r="J10" i="2"/>
  <c r="J29" i="2" s="1"/>
  <c r="J49" i="2" s="1"/>
  <c r="J69" i="2" s="1"/>
  <c r="J89" i="2" s="1"/>
  <c r="J109" i="2" s="1"/>
  <c r="J129" i="2" s="1"/>
  <c r="J149" i="2" s="1"/>
  <c r="J169" i="2" s="1"/>
  <c r="J9" i="2"/>
  <c r="J28" i="2" s="1"/>
  <c r="J48" i="2" s="1"/>
  <c r="J68" i="2" s="1"/>
  <c r="J88" i="2" s="1"/>
  <c r="J108" i="2" s="1"/>
  <c r="J128" i="2" s="1"/>
  <c r="J148" i="2" s="1"/>
  <c r="J168" i="2" s="1"/>
  <c r="J8" i="2"/>
  <c r="J27" i="2" s="1"/>
  <c r="J47" i="2" s="1"/>
  <c r="J67" i="2" s="1"/>
  <c r="J87" i="2" s="1"/>
  <c r="J107" i="2" s="1"/>
  <c r="J127" i="2" s="1"/>
  <c r="J147" i="2" s="1"/>
  <c r="J167" i="2" s="1"/>
  <c r="J7" i="2"/>
  <c r="J26" i="2" s="1"/>
  <c r="J46" i="2" s="1"/>
  <c r="J66" i="2" s="1"/>
  <c r="J86" i="2" s="1"/>
  <c r="J106" i="2" s="1"/>
  <c r="J126" i="2" s="1"/>
  <c r="J146" i="2" s="1"/>
  <c r="J166" i="2" s="1"/>
  <c r="J6" i="2"/>
  <c r="J25" i="2" s="1"/>
  <c r="J45" i="2" s="1"/>
  <c r="J65" i="2" s="1"/>
  <c r="J85" i="2" s="1"/>
  <c r="J105" i="2" s="1"/>
  <c r="J125" i="2" s="1"/>
  <c r="J145" i="2" s="1"/>
  <c r="J165" i="2" s="1"/>
  <c r="J5" i="2"/>
  <c r="J24" i="2" s="1"/>
  <c r="J44" i="2" s="1"/>
  <c r="J64" i="2" s="1"/>
  <c r="J84" i="2" s="1"/>
  <c r="J104" i="2" s="1"/>
  <c r="J124" i="2" s="1"/>
  <c r="J144" i="2" s="1"/>
  <c r="J164" i="2" s="1"/>
  <c r="J4" i="2"/>
  <c r="J23" i="2" s="1"/>
  <c r="J43" i="2" s="1"/>
  <c r="J63" i="2" s="1"/>
  <c r="J83" i="2" s="1"/>
  <c r="J103" i="2" s="1"/>
  <c r="J123" i="2" s="1"/>
  <c r="J143" i="2" s="1"/>
  <c r="J163" i="2" s="1"/>
  <c r="J3" i="2"/>
  <c r="J22" i="2" s="1"/>
  <c r="J42" i="2" s="1"/>
  <c r="J62" i="2" s="1"/>
  <c r="J82" i="2" s="1"/>
  <c r="J102" i="2" s="1"/>
  <c r="J122" i="2" s="1"/>
  <c r="J142" i="2" s="1"/>
  <c r="J162" i="2" s="1"/>
  <c r="J2" i="2"/>
  <c r="J21" i="2" s="1"/>
  <c r="J41" i="2" s="1"/>
  <c r="J61" i="2" s="1"/>
  <c r="J81" i="2" s="1"/>
  <c r="J101" i="2" s="1"/>
  <c r="J121" i="2" s="1"/>
  <c r="J141" i="2" s="1"/>
  <c r="J161" i="2" s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BK142" i="2" l="1"/>
  <c r="BM142" i="2" s="1"/>
  <c r="BJ142" i="2"/>
  <c r="BI142" i="2"/>
  <c r="BL142" i="2" s="1"/>
  <c r="BN142" i="2" s="1"/>
  <c r="BB142" i="2"/>
  <c r="BD142" i="2" s="1"/>
  <c r="BA142" i="2"/>
  <c r="AZ142" i="2"/>
  <c r="BC142" i="2" s="1"/>
  <c r="BE142" i="2" s="1"/>
  <c r="AS142" i="2"/>
  <c r="AU142" i="2" s="1"/>
  <c r="AR142" i="2"/>
  <c r="AQ142" i="2"/>
  <c r="AT142" i="2" s="1"/>
  <c r="AJ142" i="2"/>
  <c r="AL142" i="2" s="1"/>
  <c r="AI142" i="2"/>
  <c r="AH142" i="2"/>
  <c r="AK142" i="2" s="1"/>
  <c r="AM142" i="2" s="1"/>
  <c r="AA142" i="2"/>
  <c r="AC142" i="2" s="1"/>
  <c r="Z142" i="2"/>
  <c r="R142" i="2"/>
  <c r="T142" i="2" s="1"/>
  <c r="P142" i="2"/>
  <c r="BK102" i="2"/>
  <c r="BM102" i="2" s="1"/>
  <c r="BJ102" i="2"/>
  <c r="BI102" i="2"/>
  <c r="BL102" i="2" s="1"/>
  <c r="BN102" i="2" s="1"/>
  <c r="BB102" i="2"/>
  <c r="BD102" i="2" s="1"/>
  <c r="BA102" i="2"/>
  <c r="AZ102" i="2"/>
  <c r="BC102" i="2" s="1"/>
  <c r="BE102" i="2" s="1"/>
  <c r="AS102" i="2"/>
  <c r="AU102" i="2" s="1"/>
  <c r="AR102" i="2"/>
  <c r="AQ102" i="2"/>
  <c r="AT102" i="2" s="1"/>
  <c r="AV102" i="2" s="1"/>
  <c r="AJ102" i="2"/>
  <c r="AL102" i="2" s="1"/>
  <c r="AI102" i="2"/>
  <c r="AH102" i="2"/>
  <c r="AK102" i="2" s="1"/>
  <c r="AM102" i="2" s="1"/>
  <c r="AA102" i="2"/>
  <c r="AC102" i="2" s="1"/>
  <c r="Z102" i="2"/>
  <c r="R102" i="2"/>
  <c r="T102" i="2" s="1"/>
  <c r="P102" i="2"/>
  <c r="BK82" i="2"/>
  <c r="BM82" i="2" s="1"/>
  <c r="BJ82" i="2"/>
  <c r="BI169" i="2"/>
  <c r="AZ169" i="2"/>
  <c r="BJ165" i="2"/>
  <c r="AI165" i="2"/>
  <c r="BB130" i="2"/>
  <c r="BD130" i="2" s="1"/>
  <c r="AS130" i="2"/>
  <c r="AU130" i="2" s="1"/>
  <c r="AI130" i="2"/>
  <c r="AA89" i="2"/>
  <c r="AC89" i="2" s="1"/>
  <c r="BK88" i="2"/>
  <c r="BM88" i="2" s="1"/>
  <c r="AS88" i="2"/>
  <c r="AU88" i="2" s="1"/>
  <c r="AI88" i="2"/>
  <c r="BB87" i="2"/>
  <c r="BD87" i="2" s="1"/>
  <c r="AQ87" i="2"/>
  <c r="BI86" i="2"/>
  <c r="AR86" i="2"/>
  <c r="Z86" i="2"/>
  <c r="BI85" i="2"/>
  <c r="AR85" i="2"/>
  <c r="Z85" i="2"/>
  <c r="BK130" i="2"/>
  <c r="BM130" i="2" s="1"/>
  <c r="BA130" i="2"/>
  <c r="AQ130" i="2"/>
  <c r="AA130" i="2"/>
  <c r="AC130" i="2" s="1"/>
  <c r="R89" i="2"/>
  <c r="T89" i="2" s="1"/>
  <c r="BI88" i="2"/>
  <c r="AR88" i="2"/>
  <c r="AA88" i="2"/>
  <c r="AC88" i="2" s="1"/>
  <c r="R88" i="2"/>
  <c r="T88" i="2" s="1"/>
  <c r="BI87" i="2"/>
  <c r="AR87" i="2"/>
  <c r="AA87" i="2"/>
  <c r="AC87" i="2" s="1"/>
  <c r="P87" i="2"/>
  <c r="BA86" i="2"/>
  <c r="AJ86" i="2"/>
  <c r="AL86" i="2" s="1"/>
  <c r="P86" i="2"/>
  <c r="BA85" i="2"/>
  <c r="AI85" i="2"/>
  <c r="BK90" i="2"/>
  <c r="BM90" i="2" s="1"/>
  <c r="BJ90" i="2"/>
  <c r="BI90" i="2"/>
  <c r="BB90" i="2"/>
  <c r="BD90" i="2" s="1"/>
  <c r="BA90" i="2"/>
  <c r="AZ90" i="2"/>
  <c r="BC90" i="2" s="1"/>
  <c r="BE90" i="2" s="1"/>
  <c r="AS90" i="2"/>
  <c r="AU90" i="2" s="1"/>
  <c r="AR90" i="2"/>
  <c r="AQ90" i="2"/>
  <c r="AT90" i="2" s="1"/>
  <c r="AV90" i="2" s="1"/>
  <c r="AJ90" i="2"/>
  <c r="AL90" i="2" s="1"/>
  <c r="AI90" i="2"/>
  <c r="AH90" i="2"/>
  <c r="AK90" i="2" s="1"/>
  <c r="AM90" i="2" s="1"/>
  <c r="AA90" i="2"/>
  <c r="AC90" i="2" s="1"/>
  <c r="Z90" i="2"/>
  <c r="R90" i="2"/>
  <c r="T90" i="2" s="1"/>
  <c r="P90" i="2"/>
  <c r="BK89" i="2"/>
  <c r="BM89" i="2" s="1"/>
  <c r="BJ89" i="2"/>
  <c r="BI89" i="2"/>
  <c r="BL89" i="2" s="1"/>
  <c r="BB89" i="2"/>
  <c r="BD89" i="2" s="1"/>
  <c r="BA89" i="2"/>
  <c r="AZ89" i="2"/>
  <c r="BC89" i="2" s="1"/>
  <c r="BE89" i="2" s="1"/>
  <c r="AS89" i="2"/>
  <c r="AU89" i="2" s="1"/>
  <c r="AR89" i="2"/>
  <c r="AQ89" i="2"/>
  <c r="AT89" i="2" s="1"/>
  <c r="AV89" i="2" s="1"/>
  <c r="AJ89" i="2"/>
  <c r="AL89" i="2" s="1"/>
  <c r="AI89" i="2"/>
  <c r="P89" i="2"/>
  <c r="BA88" i="2"/>
  <c r="AJ88" i="2"/>
  <c r="AL88" i="2" s="1"/>
  <c r="BK87" i="2"/>
  <c r="BM87" i="2" s="1"/>
  <c r="AZ87" i="2"/>
  <c r="AJ87" i="2"/>
  <c r="AL87" i="2" s="1"/>
  <c r="Z87" i="2"/>
  <c r="BK86" i="2"/>
  <c r="BM86" i="2" s="1"/>
  <c r="AZ86" i="2"/>
  <c r="AI86" i="2"/>
  <c r="R86" i="2"/>
  <c r="T86" i="2" s="1"/>
  <c r="BJ85" i="2"/>
  <c r="AZ85" i="2"/>
  <c r="AJ85" i="2"/>
  <c r="AL85" i="2" s="1"/>
  <c r="AQ169" i="2"/>
  <c r="AH169" i="2"/>
  <c r="P169" i="2"/>
  <c r="BA165" i="2"/>
  <c r="AR165" i="2"/>
  <c r="Z165" i="2"/>
  <c r="AV142" i="2"/>
  <c r="BI130" i="2"/>
  <c r="AR130" i="2"/>
  <c r="AH130" i="2"/>
  <c r="AK130" i="2" s="1"/>
  <c r="AH89" i="2"/>
  <c r="AK89" i="2" s="1"/>
  <c r="AM89" i="2" s="1"/>
  <c r="BJ88" i="2"/>
  <c r="AZ88" i="2"/>
  <c r="BC88" i="2" s="1"/>
  <c r="BE88" i="2" s="1"/>
  <c r="AH88" i="2"/>
  <c r="AK88" i="2" s="1"/>
  <c r="AM88" i="2" s="1"/>
  <c r="P88" i="2"/>
  <c r="BA87" i="2"/>
  <c r="AI87" i="2"/>
  <c r="R87" i="2"/>
  <c r="T87" i="2" s="1"/>
  <c r="BB86" i="2"/>
  <c r="BD86" i="2" s="1"/>
  <c r="AQ86" i="2"/>
  <c r="AT86" i="2" s="1"/>
  <c r="AV86" i="2" s="1"/>
  <c r="AA86" i="2"/>
  <c r="AC86" i="2" s="1"/>
  <c r="BK85" i="2"/>
  <c r="BM85" i="2" s="1"/>
  <c r="AS85" i="2"/>
  <c r="AU85" i="2" s="1"/>
  <c r="AA85" i="2"/>
  <c r="AC85" i="2" s="1"/>
  <c r="P85" i="2"/>
  <c r="L162" i="2"/>
  <c r="AO161" i="2"/>
  <c r="V161" i="2"/>
  <c r="W161" i="2"/>
  <c r="X161" i="2"/>
  <c r="AA161" i="2" s="1"/>
  <c r="AC161" i="2" s="1"/>
  <c r="AE161" i="2"/>
  <c r="AG161" i="2"/>
  <c r="AJ161" i="2" s="1"/>
  <c r="AL161" i="2" s="1"/>
  <c r="AN161" i="2"/>
  <c r="AP161" i="2"/>
  <c r="AW161" i="2"/>
  <c r="AZ161" i="2" s="1"/>
  <c r="AX161" i="2"/>
  <c r="BA161" i="2" s="1"/>
  <c r="AY161" i="2"/>
  <c r="BB161" i="2" s="1"/>
  <c r="BD161" i="2" s="1"/>
  <c r="BF161" i="2"/>
  <c r="BG161" i="2"/>
  <c r="BJ161" i="2" s="1"/>
  <c r="BH161" i="2"/>
  <c r="AF161" i="2"/>
  <c r="AI161" i="2" s="1"/>
  <c r="M161" i="2"/>
  <c r="P161" i="2" s="1"/>
  <c r="O161" i="2"/>
  <c r="R161" i="2" s="1"/>
  <c r="T161" i="2" s="1"/>
  <c r="N161" i="2"/>
  <c r="L145" i="2"/>
  <c r="AY144" i="2"/>
  <c r="BB144" i="2" s="1"/>
  <c r="BD144" i="2" s="1"/>
  <c r="BH144" i="2"/>
  <c r="BK144" i="2" s="1"/>
  <c r="BM144" i="2" s="1"/>
  <c r="BG144" i="2"/>
  <c r="BJ144" i="2" s="1"/>
  <c r="BF144" i="2"/>
  <c r="BI144" i="2" s="1"/>
  <c r="BL144" i="2" s="1"/>
  <c r="BN144" i="2" s="1"/>
  <c r="L122" i="2"/>
  <c r="AF121" i="2"/>
  <c r="AI121" i="2" s="1"/>
  <c r="AG121" i="2"/>
  <c r="AJ121" i="2" s="1"/>
  <c r="AL121" i="2" s="1"/>
  <c r="AN121" i="2"/>
  <c r="AQ121" i="2" s="1"/>
  <c r="AP121" i="2"/>
  <c r="AS121" i="2" s="1"/>
  <c r="AU121" i="2" s="1"/>
  <c r="AW121" i="2"/>
  <c r="AZ121" i="2" s="1"/>
  <c r="AX121" i="2"/>
  <c r="BA121" i="2" s="1"/>
  <c r="AY121" i="2"/>
  <c r="BB121" i="2" s="1"/>
  <c r="BD121" i="2" s="1"/>
  <c r="BF121" i="2"/>
  <c r="BI121" i="2" s="1"/>
  <c r="BG121" i="2"/>
  <c r="BJ121" i="2" s="1"/>
  <c r="AO121" i="2"/>
  <c r="AR121" i="2" s="1"/>
  <c r="M121" i="2"/>
  <c r="P121" i="2" s="1"/>
  <c r="O121" i="2"/>
  <c r="R121" i="2" s="1"/>
  <c r="T121" i="2" s="1"/>
  <c r="BH121" i="2"/>
  <c r="BK121" i="2" s="1"/>
  <c r="BM121" i="2" s="1"/>
  <c r="V121" i="2"/>
  <c r="W121" i="2"/>
  <c r="Z121" i="2" s="1"/>
  <c r="X121" i="2"/>
  <c r="AA121" i="2" s="1"/>
  <c r="AC121" i="2" s="1"/>
  <c r="AE121" i="2"/>
  <c r="AH121" i="2" s="1"/>
  <c r="N121" i="2"/>
  <c r="L106" i="2"/>
  <c r="V105" i="2"/>
  <c r="BH105" i="2"/>
  <c r="BG105" i="2"/>
  <c r="BJ105" i="2" s="1"/>
  <c r="BF105" i="2"/>
  <c r="AY105" i="2"/>
  <c r="AX105" i="2"/>
  <c r="BA105" i="2" s="1"/>
  <c r="AW105" i="2"/>
  <c r="AP105" i="2"/>
  <c r="AO105" i="2"/>
  <c r="AR105" i="2" s="1"/>
  <c r="AN105" i="2"/>
  <c r="AG105" i="2"/>
  <c r="AF105" i="2"/>
  <c r="AI105" i="2" s="1"/>
  <c r="AE105" i="2"/>
  <c r="X105" i="2"/>
  <c r="W105" i="2"/>
  <c r="Z105" i="2" s="1"/>
  <c r="L82" i="2"/>
  <c r="AY81" i="2"/>
  <c r="BB81" i="2" s="1"/>
  <c r="BD81" i="2" s="1"/>
  <c r="BF81" i="2"/>
  <c r="BI81" i="2" s="1"/>
  <c r="BG81" i="2"/>
  <c r="BJ81" i="2" s="1"/>
  <c r="BH81" i="2"/>
  <c r="BK81" i="2" s="1"/>
  <c r="BM81" i="2" s="1"/>
  <c r="M81" i="2"/>
  <c r="P81" i="2" s="1"/>
  <c r="N81" i="2"/>
  <c r="O81" i="2"/>
  <c r="R81" i="2" s="1"/>
  <c r="T81" i="2" s="1"/>
  <c r="V81" i="2"/>
  <c r="W81" i="2"/>
  <c r="Z81" i="2" s="1"/>
  <c r="X81" i="2"/>
  <c r="AA81" i="2" s="1"/>
  <c r="AC81" i="2" s="1"/>
  <c r="AE81" i="2"/>
  <c r="AH81" i="2" s="1"/>
  <c r="AF81" i="2"/>
  <c r="AI81" i="2" s="1"/>
  <c r="AG81" i="2"/>
  <c r="AJ81" i="2" s="1"/>
  <c r="AL81" i="2" s="1"/>
  <c r="AN81" i="2"/>
  <c r="AQ81" i="2" s="1"/>
  <c r="AO81" i="2"/>
  <c r="AR81" i="2" s="1"/>
  <c r="AP81" i="2"/>
  <c r="AS81" i="2" s="1"/>
  <c r="AU81" i="2" s="1"/>
  <c r="AW81" i="2"/>
  <c r="AZ81" i="2" s="1"/>
  <c r="AX81" i="2"/>
  <c r="BA81" i="2" s="1"/>
  <c r="L62" i="2"/>
  <c r="M61" i="2"/>
  <c r="P61" i="2" s="1"/>
  <c r="AY61" i="2"/>
  <c r="BB61" i="2" s="1"/>
  <c r="BD61" i="2" s="1"/>
  <c r="BH61" i="2"/>
  <c r="BK61" i="2" s="1"/>
  <c r="BM61" i="2" s="1"/>
  <c r="BG61" i="2"/>
  <c r="BJ61" i="2" s="1"/>
  <c r="BF61" i="2"/>
  <c r="BI61" i="2" s="1"/>
  <c r="BL61" i="2" s="1"/>
  <c r="BN61" i="2" s="1"/>
  <c r="AX61" i="2"/>
  <c r="BA61" i="2" s="1"/>
  <c r="AW61" i="2"/>
  <c r="AZ61" i="2" s="1"/>
  <c r="BC61" i="2" s="1"/>
  <c r="BE61" i="2" s="1"/>
  <c r="AP61" i="2"/>
  <c r="AS61" i="2" s="1"/>
  <c r="AU61" i="2" s="1"/>
  <c r="AO61" i="2"/>
  <c r="AR61" i="2" s="1"/>
  <c r="AN61" i="2"/>
  <c r="AQ61" i="2" s="1"/>
  <c r="AT61" i="2" s="1"/>
  <c r="AV61" i="2" s="1"/>
  <c r="AF61" i="2"/>
  <c r="AI61" i="2" s="1"/>
  <c r="AE61" i="2"/>
  <c r="AH61" i="2" s="1"/>
  <c r="X61" i="2"/>
  <c r="AA61" i="2" s="1"/>
  <c r="AC61" i="2" s="1"/>
  <c r="W61" i="2"/>
  <c r="Z61" i="2" s="1"/>
  <c r="V61" i="2"/>
  <c r="O61" i="2"/>
  <c r="R61" i="2" s="1"/>
  <c r="T61" i="2" s="1"/>
  <c r="N61" i="2"/>
  <c r="AG61" i="2"/>
  <c r="AJ61" i="2" s="1"/>
  <c r="AL61" i="2" s="1"/>
  <c r="AP41" i="2"/>
  <c r="AS41" i="2" s="1"/>
  <c r="AU41" i="2" s="1"/>
  <c r="AW41" i="2"/>
  <c r="AZ41" i="2" s="1"/>
  <c r="AX41" i="2"/>
  <c r="BA41" i="2" s="1"/>
  <c r="AY41" i="2"/>
  <c r="BB41" i="2" s="1"/>
  <c r="BD41" i="2" s="1"/>
  <c r="BF41" i="2"/>
  <c r="BI41" i="2" s="1"/>
  <c r="BG41" i="2"/>
  <c r="BJ41" i="2" s="1"/>
  <c r="BH41" i="2"/>
  <c r="BK41" i="2" s="1"/>
  <c r="BM41" i="2" s="1"/>
  <c r="AN41" i="2"/>
  <c r="AQ41" i="2" s="1"/>
  <c r="AO41" i="2"/>
  <c r="AR41" i="2" s="1"/>
  <c r="L22" i="2"/>
  <c r="AP21" i="2"/>
  <c r="AS21" i="2" s="1"/>
  <c r="AU21" i="2" s="1"/>
  <c r="AN21" i="2"/>
  <c r="AQ21" i="2" s="1"/>
  <c r="AF21" i="2"/>
  <c r="AI21" i="2" s="1"/>
  <c r="X21" i="2"/>
  <c r="AA21" i="2" s="1"/>
  <c r="AC21" i="2" s="1"/>
  <c r="V21" i="2"/>
  <c r="N21" i="2"/>
  <c r="AG21" i="2"/>
  <c r="AJ21" i="2" s="1"/>
  <c r="AL21" i="2" s="1"/>
  <c r="BG21" i="2"/>
  <c r="BJ21" i="2" s="1"/>
  <c r="AY21" i="2"/>
  <c r="BB21" i="2" s="1"/>
  <c r="BD21" i="2" s="1"/>
  <c r="AW21" i="2"/>
  <c r="AZ21" i="2" s="1"/>
  <c r="AO21" i="2"/>
  <c r="AR21" i="2" s="1"/>
  <c r="AE21" i="2"/>
  <c r="AH21" i="2" s="1"/>
  <c r="AK21" i="2" s="1"/>
  <c r="AM21" i="2" s="1"/>
  <c r="W21" i="2"/>
  <c r="Z21" i="2" s="1"/>
  <c r="O21" i="2"/>
  <c r="R21" i="2" s="1"/>
  <c r="T21" i="2" s="1"/>
  <c r="M21" i="2"/>
  <c r="P21" i="2" s="1"/>
  <c r="AX21" i="2"/>
  <c r="BA21" i="2" s="1"/>
  <c r="BH21" i="2"/>
  <c r="BK21" i="2" s="1"/>
  <c r="BM21" i="2" s="1"/>
  <c r="BF21" i="2"/>
  <c r="BI21" i="2" s="1"/>
  <c r="B42" i="2"/>
  <c r="A22" i="2"/>
  <c r="B43" i="2"/>
  <c r="A23" i="2"/>
  <c r="B44" i="2"/>
  <c r="A24" i="2"/>
  <c r="B45" i="2"/>
  <c r="A25" i="2"/>
  <c r="AH85" i="2"/>
  <c r="AQ85" i="2"/>
  <c r="E105" i="2"/>
  <c r="Y105" i="2" s="1"/>
  <c r="AB105" i="2" s="1"/>
  <c r="R85" i="2"/>
  <c r="T85" i="2" s="1"/>
  <c r="BB85" i="2"/>
  <c r="BD85" i="2" s="1"/>
  <c r="G105" i="2"/>
  <c r="B46" i="2"/>
  <c r="A26" i="2"/>
  <c r="AH86" i="2"/>
  <c r="E106" i="2"/>
  <c r="E126" i="2" s="1"/>
  <c r="E146" i="2" s="1"/>
  <c r="E166" i="2" s="1"/>
  <c r="BJ86" i="2"/>
  <c r="F106" i="2"/>
  <c r="F126" i="2" s="1"/>
  <c r="F146" i="2" s="1"/>
  <c r="F166" i="2" s="1"/>
  <c r="AS86" i="2"/>
  <c r="AU86" i="2" s="1"/>
  <c r="G106" i="2"/>
  <c r="G126" i="2" s="1"/>
  <c r="G146" i="2" s="1"/>
  <c r="G166" i="2" s="1"/>
  <c r="B47" i="2"/>
  <c r="A27" i="2"/>
  <c r="AH87" i="2"/>
  <c r="E107" i="2"/>
  <c r="E127" i="2" s="1"/>
  <c r="E147" i="2" s="1"/>
  <c r="E167" i="2" s="1"/>
  <c r="BJ87" i="2"/>
  <c r="F107" i="2"/>
  <c r="F127" i="2" s="1"/>
  <c r="F147" i="2" s="1"/>
  <c r="F167" i="2" s="1"/>
  <c r="AS87" i="2"/>
  <c r="AU87" i="2" s="1"/>
  <c r="G107" i="2"/>
  <c r="G127" i="2" s="1"/>
  <c r="G147" i="2" s="1"/>
  <c r="G167" i="2" s="1"/>
  <c r="B48" i="2"/>
  <c r="A28" i="2"/>
  <c r="AQ88" i="2"/>
  <c r="E108" i="2"/>
  <c r="E128" i="2" s="1"/>
  <c r="E148" i="2" s="1"/>
  <c r="E168" i="2" s="1"/>
  <c r="Z88" i="2"/>
  <c r="F108" i="2"/>
  <c r="F128" i="2" s="1"/>
  <c r="F148" i="2" s="1"/>
  <c r="F168" i="2" s="1"/>
  <c r="BB88" i="2"/>
  <c r="BD88" i="2" s="1"/>
  <c r="G108" i="2"/>
  <c r="G128" i="2" s="1"/>
  <c r="G148" i="2" s="1"/>
  <c r="G168" i="2" s="1"/>
  <c r="B49" i="2"/>
  <c r="A29" i="2"/>
  <c r="Z89" i="2"/>
  <c r="F109" i="2"/>
  <c r="F129" i="2" s="1"/>
  <c r="F149" i="2" s="1"/>
  <c r="F169" i="2" s="1"/>
  <c r="R169" i="2"/>
  <c r="T169" i="2" s="1"/>
  <c r="AA169" i="2"/>
  <c r="AC169" i="2" s="1"/>
  <c r="AJ169" i="2"/>
  <c r="AL169" i="2" s="1"/>
  <c r="AS169" i="2"/>
  <c r="AU169" i="2" s="1"/>
  <c r="BB169" i="2"/>
  <c r="BD169" i="2" s="1"/>
  <c r="BK169" i="2"/>
  <c r="BM169" i="2" s="1"/>
  <c r="B50" i="2"/>
  <c r="A30" i="2"/>
  <c r="AZ130" i="2"/>
  <c r="E150" i="2"/>
  <c r="E170" i="2" s="1"/>
  <c r="Z130" i="2"/>
  <c r="BJ130" i="2"/>
  <c r="F150" i="2"/>
  <c r="F170" i="2" s="1"/>
  <c r="AJ130" i="2"/>
  <c r="AL130" i="2" s="1"/>
  <c r="G150" i="2"/>
  <c r="G170" i="2" s="1"/>
  <c r="B41" i="2"/>
  <c r="A21" i="2"/>
  <c r="BA144" i="2"/>
  <c r="AZ144" i="2"/>
  <c r="BC144" i="2" s="1"/>
  <c r="AS144" i="2"/>
  <c r="AU144" i="2" s="1"/>
  <c r="AR144" i="2"/>
  <c r="AQ144" i="2"/>
  <c r="AT144" i="2" s="1"/>
  <c r="AV144" i="2" s="1"/>
  <c r="AJ144" i="2"/>
  <c r="AL144" i="2" s="1"/>
  <c r="AI144" i="2"/>
  <c r="AH144" i="2"/>
  <c r="AK144" i="2" s="1"/>
  <c r="AM144" i="2" s="1"/>
  <c r="AA144" i="2"/>
  <c r="AC144" i="2" s="1"/>
  <c r="Z144" i="2"/>
  <c r="R144" i="2"/>
  <c r="T144" i="2" s="1"/>
  <c r="P144" i="2"/>
  <c r="BK143" i="2"/>
  <c r="BM143" i="2" s="1"/>
  <c r="BJ143" i="2"/>
  <c r="BI143" i="2"/>
  <c r="BL143" i="2" s="1"/>
  <c r="BN143" i="2" s="1"/>
  <c r="BB143" i="2"/>
  <c r="BD143" i="2" s="1"/>
  <c r="BA143" i="2"/>
  <c r="AZ143" i="2"/>
  <c r="BC143" i="2" s="1"/>
  <c r="BE143" i="2" s="1"/>
  <c r="AS143" i="2"/>
  <c r="AU143" i="2" s="1"/>
  <c r="AR143" i="2"/>
  <c r="AQ143" i="2"/>
  <c r="AT143" i="2" s="1"/>
  <c r="AV143" i="2" s="1"/>
  <c r="AJ143" i="2"/>
  <c r="AL143" i="2" s="1"/>
  <c r="AI143" i="2"/>
  <c r="AH143" i="2"/>
  <c r="AK143" i="2" s="1"/>
  <c r="AM143" i="2" s="1"/>
  <c r="AA143" i="2"/>
  <c r="AC143" i="2" s="1"/>
  <c r="Z143" i="2"/>
  <c r="R143" i="2"/>
  <c r="T143" i="2" s="1"/>
  <c r="P143" i="2"/>
  <c r="BI141" i="2"/>
  <c r="AZ141" i="2"/>
  <c r="AQ141" i="2"/>
  <c r="AH141" i="2"/>
  <c r="Z141" i="2"/>
  <c r="P141" i="2"/>
  <c r="BB104" i="2"/>
  <c r="BD104" i="2" s="1"/>
  <c r="AR104" i="2"/>
  <c r="AI104" i="2"/>
  <c r="Z104" i="2"/>
  <c r="P104" i="2"/>
  <c r="BI103" i="2"/>
  <c r="BA103" i="2"/>
  <c r="AS103" i="2"/>
  <c r="AU103" i="2" s="1"/>
  <c r="AH103" i="2"/>
  <c r="AA103" i="2"/>
  <c r="AC103" i="2" s="1"/>
  <c r="R103" i="2"/>
  <c r="T103" i="2" s="1"/>
  <c r="BA101" i="2"/>
  <c r="AR101" i="2"/>
  <c r="AJ101" i="2"/>
  <c r="AL101" i="2" s="1"/>
  <c r="AA101" i="2"/>
  <c r="AC101" i="2" s="1"/>
  <c r="BK84" i="2"/>
  <c r="BM84" i="2" s="1"/>
  <c r="BJ84" i="2"/>
  <c r="BI84" i="2"/>
  <c r="BL84" i="2" s="1"/>
  <c r="BN84" i="2" s="1"/>
  <c r="BB84" i="2"/>
  <c r="BD84" i="2" s="1"/>
  <c r="BA84" i="2"/>
  <c r="AZ84" i="2"/>
  <c r="BC84" i="2" s="1"/>
  <c r="BE84" i="2" s="1"/>
  <c r="AS84" i="2"/>
  <c r="AU84" i="2" s="1"/>
  <c r="AR84" i="2"/>
  <c r="AQ84" i="2"/>
  <c r="AT84" i="2" s="1"/>
  <c r="AV84" i="2" s="1"/>
  <c r="AJ84" i="2"/>
  <c r="AL84" i="2" s="1"/>
  <c r="AI84" i="2"/>
  <c r="AH84" i="2"/>
  <c r="AK84" i="2" s="1"/>
  <c r="AM84" i="2" s="1"/>
  <c r="AA84" i="2"/>
  <c r="AC84" i="2" s="1"/>
  <c r="Z84" i="2"/>
  <c r="R84" i="2"/>
  <c r="T84" i="2" s="1"/>
  <c r="P84" i="2"/>
  <c r="BK83" i="2"/>
  <c r="BM83" i="2" s="1"/>
  <c r="BJ83" i="2"/>
  <c r="BI83" i="2"/>
  <c r="BL83" i="2" s="1"/>
  <c r="BN83" i="2" s="1"/>
  <c r="BB83" i="2"/>
  <c r="BD83" i="2" s="1"/>
  <c r="BA83" i="2"/>
  <c r="AZ83" i="2"/>
  <c r="BC83" i="2" s="1"/>
  <c r="BE83" i="2" s="1"/>
  <c r="AS83" i="2"/>
  <c r="AU83" i="2" s="1"/>
  <c r="AR83" i="2"/>
  <c r="AQ83" i="2"/>
  <c r="AT83" i="2" s="1"/>
  <c r="AV83" i="2" s="1"/>
  <c r="AJ83" i="2"/>
  <c r="AL83" i="2" s="1"/>
  <c r="AI83" i="2"/>
  <c r="AH83" i="2"/>
  <c r="AK83" i="2" s="1"/>
  <c r="AM83" i="2" s="1"/>
  <c r="AA83" i="2"/>
  <c r="AC83" i="2" s="1"/>
  <c r="Z83" i="2"/>
  <c r="R83" i="2"/>
  <c r="T83" i="2" s="1"/>
  <c r="P83" i="2"/>
  <c r="BK104" i="2"/>
  <c r="BM104" i="2" s="1"/>
  <c r="BI104" i="2"/>
  <c r="BL104" i="2" s="1"/>
  <c r="BN104" i="2" s="1"/>
  <c r="AZ104" i="2"/>
  <c r="AQ104" i="2"/>
  <c r="AH104" i="2"/>
  <c r="BJ103" i="2"/>
  <c r="AZ103" i="2"/>
  <c r="AR103" i="2"/>
  <c r="AI103" i="2"/>
  <c r="P103" i="2"/>
  <c r="BK101" i="2"/>
  <c r="BM101" i="2" s="1"/>
  <c r="BN101" i="2" s="1"/>
  <c r="AZ101" i="2"/>
  <c r="AQ101" i="2"/>
  <c r="AH101" i="2"/>
  <c r="Z101" i="2"/>
  <c r="P101" i="2"/>
  <c r="BJ164" i="2"/>
  <c r="BJ141" i="2"/>
  <c r="BB141" i="2"/>
  <c r="BD141" i="2" s="1"/>
  <c r="AR141" i="2"/>
  <c r="AI141" i="2"/>
  <c r="BI164" i="2"/>
  <c r="AR161" i="2"/>
  <c r="AH161" i="2"/>
  <c r="Z161" i="2"/>
  <c r="BK141" i="2"/>
  <c r="BM141" i="2" s="1"/>
  <c r="BA141" i="2"/>
  <c r="AS141" i="2"/>
  <c r="AU141" i="2" s="1"/>
  <c r="AJ141" i="2"/>
  <c r="AL141" i="2" s="1"/>
  <c r="AA141" i="2"/>
  <c r="AC141" i="2" s="1"/>
  <c r="R141" i="2"/>
  <c r="T141" i="2" s="1"/>
  <c r="BJ104" i="2"/>
  <c r="BA104" i="2"/>
  <c r="AS104" i="2"/>
  <c r="AU104" i="2" s="1"/>
  <c r="AJ104" i="2"/>
  <c r="AL104" i="2" s="1"/>
  <c r="AA104" i="2"/>
  <c r="AC104" i="2" s="1"/>
  <c r="R104" i="2"/>
  <c r="T104" i="2" s="1"/>
  <c r="BK103" i="2"/>
  <c r="BM103" i="2" s="1"/>
  <c r="BB103" i="2"/>
  <c r="BD103" i="2" s="1"/>
  <c r="AQ103" i="2"/>
  <c r="AJ103" i="2"/>
  <c r="AL103" i="2" s="1"/>
  <c r="Z103" i="2"/>
  <c r="BB101" i="2"/>
  <c r="BD101" i="2" s="1"/>
  <c r="AS101" i="2"/>
  <c r="AU101" i="2" s="1"/>
  <c r="AI101" i="2"/>
  <c r="R101" i="2"/>
  <c r="T101" i="2" s="1"/>
  <c r="L42" i="2"/>
  <c r="AG41" i="2"/>
  <c r="AJ41" i="2" s="1"/>
  <c r="AL41" i="2" s="1"/>
  <c r="AF41" i="2"/>
  <c r="AI41" i="2" s="1"/>
  <c r="AE41" i="2"/>
  <c r="AH41" i="2" s="1"/>
  <c r="AK41" i="2" s="1"/>
  <c r="AM41" i="2" s="1"/>
  <c r="X41" i="2"/>
  <c r="AA41" i="2" s="1"/>
  <c r="AC41" i="2" s="1"/>
  <c r="W41" i="2"/>
  <c r="Z41" i="2" s="1"/>
  <c r="V41" i="2"/>
  <c r="O41" i="2"/>
  <c r="R41" i="2" s="1"/>
  <c r="T41" i="2" s="1"/>
  <c r="N41" i="2"/>
  <c r="M41" i="2"/>
  <c r="P41" i="2" s="1"/>
  <c r="L23" i="2"/>
  <c r="BH22" i="2"/>
  <c r="BK22" i="2" s="1"/>
  <c r="BM22" i="2" s="1"/>
  <c r="X22" i="2"/>
  <c r="AA22" i="2" s="1"/>
  <c r="AC22" i="2" s="1"/>
  <c r="AE22" i="2"/>
  <c r="AH22" i="2" s="1"/>
  <c r="AF22" i="2"/>
  <c r="AI22" i="2" s="1"/>
  <c r="AG22" i="2"/>
  <c r="AJ22" i="2" s="1"/>
  <c r="AL22" i="2" s="1"/>
  <c r="AN22" i="2"/>
  <c r="AQ22" i="2" s="1"/>
  <c r="AO22" i="2"/>
  <c r="AR22" i="2" s="1"/>
  <c r="AP22" i="2"/>
  <c r="AS22" i="2" s="1"/>
  <c r="AU22" i="2" s="1"/>
  <c r="AW22" i="2"/>
  <c r="AZ22" i="2" s="1"/>
  <c r="AX22" i="2"/>
  <c r="BA22" i="2" s="1"/>
  <c r="AY22" i="2"/>
  <c r="BB22" i="2" s="1"/>
  <c r="BD22" i="2" s="1"/>
  <c r="BF22" i="2"/>
  <c r="BI22" i="2" s="1"/>
  <c r="BG22" i="2"/>
  <c r="BJ22" i="2" s="1"/>
  <c r="BH2" i="2"/>
  <c r="BK2" i="2" s="1"/>
  <c r="BM2" i="2" s="1"/>
  <c r="BG2" i="2"/>
  <c r="BJ2" i="2" s="1"/>
  <c r="BF2" i="2"/>
  <c r="BI2" i="2" s="1"/>
  <c r="AY2" i="2"/>
  <c r="BB2" i="2" s="1"/>
  <c r="BD2" i="2" s="1"/>
  <c r="AX2" i="2"/>
  <c r="BA2" i="2" s="1"/>
  <c r="AW2" i="2"/>
  <c r="AZ2" i="2" s="1"/>
  <c r="AN2" i="2"/>
  <c r="AQ2" i="2" s="1"/>
  <c r="AG2" i="2"/>
  <c r="AJ2" i="2" s="1"/>
  <c r="AL2" i="2" s="1"/>
  <c r="AF2" i="2"/>
  <c r="AI2" i="2" s="1"/>
  <c r="AE2" i="2"/>
  <c r="AH2" i="2" s="1"/>
  <c r="AK2" i="2" s="1"/>
  <c r="AM2" i="2" s="1"/>
  <c r="X2" i="2"/>
  <c r="AA2" i="2" s="1"/>
  <c r="AC2" i="2" s="1"/>
  <c r="W2" i="2"/>
  <c r="Z2" i="2" s="1"/>
  <c r="V2" i="2"/>
  <c r="AO2" i="2"/>
  <c r="AR2" i="2" s="1"/>
  <c r="AP2" i="2"/>
  <c r="AS2" i="2" s="1"/>
  <c r="AU2" i="2" s="1"/>
  <c r="BK164" i="2"/>
  <c r="BM164" i="2" s="1"/>
  <c r="AS161" i="2"/>
  <c r="AU161" i="2" s="1"/>
  <c r="BK161" i="2"/>
  <c r="BM161" i="2" s="1"/>
  <c r="AQ161" i="2"/>
  <c r="BI161" i="2"/>
  <c r="Y170" i="2"/>
  <c r="Q170" i="2"/>
  <c r="Q169" i="2"/>
  <c r="S169" i="2" s="1"/>
  <c r="U169" i="2" s="1"/>
  <c r="Y169" i="2"/>
  <c r="Q168" i="2"/>
  <c r="Y168" i="2"/>
  <c r="Y167" i="2"/>
  <c r="Q167" i="2"/>
  <c r="Q166" i="2"/>
  <c r="Y166" i="2"/>
  <c r="Q165" i="2"/>
  <c r="Q161" i="2"/>
  <c r="Y161" i="2"/>
  <c r="Q144" i="2"/>
  <c r="Y144" i="2"/>
  <c r="Q143" i="2"/>
  <c r="Y143" i="2"/>
  <c r="Y142" i="2"/>
  <c r="AB142" i="2" s="1"/>
  <c r="AD142" i="2" s="1"/>
  <c r="Q142" i="2"/>
  <c r="S142" i="2" s="1"/>
  <c r="U142" i="2" s="1"/>
  <c r="Q141" i="2"/>
  <c r="Y141" i="2"/>
  <c r="Q105" i="2"/>
  <c r="Y104" i="2"/>
  <c r="AB104" i="2" s="1"/>
  <c r="Q104" i="2"/>
  <c r="S104" i="2" s="1"/>
  <c r="Y103" i="2"/>
  <c r="Q103" i="2"/>
  <c r="Y102" i="2"/>
  <c r="AB102" i="2" s="1"/>
  <c r="AD102" i="2" s="1"/>
  <c r="Q102" i="2"/>
  <c r="S102" i="2" s="1"/>
  <c r="U102" i="2" s="1"/>
  <c r="Q101" i="2"/>
  <c r="Y101" i="2"/>
  <c r="Q90" i="2"/>
  <c r="S90" i="2" s="1"/>
  <c r="U90" i="2" s="1"/>
  <c r="Y90" i="2"/>
  <c r="AB90" i="2" s="1"/>
  <c r="AD90" i="2" s="1"/>
  <c r="Q89" i="2"/>
  <c r="S89" i="2" s="1"/>
  <c r="U89" i="2" s="1"/>
  <c r="Y89" i="2"/>
  <c r="Q88" i="2"/>
  <c r="Y88" i="2"/>
  <c r="Q87" i="2"/>
  <c r="S87" i="2" s="1"/>
  <c r="Y87" i="2"/>
  <c r="AB87" i="2" s="1"/>
  <c r="AD87" i="2" s="1"/>
  <c r="Y86" i="2"/>
  <c r="AB86" i="2" s="1"/>
  <c r="Q86" i="2"/>
  <c r="S86" i="2" s="1"/>
  <c r="U86" i="2" s="1"/>
  <c r="Q85" i="2"/>
  <c r="S85" i="2" s="1"/>
  <c r="U85" i="2" s="1"/>
  <c r="Y85" i="2"/>
  <c r="AB85" i="2" s="1"/>
  <c r="AD85" i="2" s="1"/>
  <c r="Y84" i="2"/>
  <c r="Q84" i="2"/>
  <c r="Q83" i="2"/>
  <c r="Y83" i="2"/>
  <c r="BN89" i="2"/>
  <c r="BL86" i="2"/>
  <c r="BN86" i="2" s="1"/>
  <c r="Q21" i="2"/>
  <c r="S21" i="2" s="1"/>
  <c r="U21" i="2" s="1"/>
  <c r="Y21" i="2"/>
  <c r="AB21" i="2" s="1"/>
  <c r="AD21" i="2" s="1"/>
  <c r="L3" i="2"/>
  <c r="O2" i="2"/>
  <c r="R2" i="2" s="1"/>
  <c r="T2" i="2" s="1"/>
  <c r="N2" i="2"/>
  <c r="M2" i="2"/>
  <c r="P2" i="2" s="1"/>
  <c r="BL90" i="2" l="1"/>
  <c r="BN90" i="2" s="1"/>
  <c r="BC86" i="2"/>
  <c r="BE86" i="2" s="1"/>
  <c r="BC85" i="2"/>
  <c r="BE85" i="2" s="1"/>
  <c r="BE144" i="2"/>
  <c r="BC121" i="2"/>
  <c r="BE121" i="2" s="1"/>
  <c r="BL121" i="2"/>
  <c r="BN121" i="2" s="1"/>
  <c r="BK105" i="2"/>
  <c r="BM105" i="2" s="1"/>
  <c r="BI105" i="2"/>
  <c r="BL105" i="2" s="1"/>
  <c r="BN105" i="2" s="1"/>
  <c r="BB105" i="2"/>
  <c r="BD105" i="2" s="1"/>
  <c r="AZ105" i="2"/>
  <c r="BC105" i="2" s="1"/>
  <c r="BE105" i="2" s="1"/>
  <c r="AS105" i="2"/>
  <c r="AU105" i="2" s="1"/>
  <c r="AQ105" i="2"/>
  <c r="AT105" i="2" s="1"/>
  <c r="AV105" i="2" s="1"/>
  <c r="AJ105" i="2"/>
  <c r="AL105" i="2" s="1"/>
  <c r="AH105" i="2"/>
  <c r="AK105" i="2" s="1"/>
  <c r="AM105" i="2" s="1"/>
  <c r="AA105" i="2"/>
  <c r="AC105" i="2" s="1"/>
  <c r="AD105" i="2" s="1"/>
  <c r="AT81" i="2"/>
  <c r="AV81" i="2" s="1"/>
  <c r="BC81" i="2"/>
  <c r="BE81" i="2" s="1"/>
  <c r="BC41" i="2"/>
  <c r="BE41" i="2" s="1"/>
  <c r="BL21" i="2"/>
  <c r="BN21" i="2" s="1"/>
  <c r="AK85" i="2"/>
  <c r="AM85" i="2" s="1"/>
  <c r="AT85" i="2"/>
  <c r="AV85" i="2" s="1"/>
  <c r="AT88" i="2"/>
  <c r="AV88" i="2" s="1"/>
  <c r="BC130" i="2"/>
  <c r="BE130" i="2" s="1"/>
  <c r="BC104" i="2"/>
  <c r="BE104" i="2" s="1"/>
  <c r="AT104" i="2"/>
  <c r="AV104" i="2" s="1"/>
  <c r="AK104" i="2"/>
  <c r="AM104" i="2" s="1"/>
  <c r="BL22" i="2"/>
  <c r="BN22" i="2" s="1"/>
  <c r="BC2" i="2"/>
  <c r="BE2" i="2" s="1"/>
  <c r="O162" i="2"/>
  <c r="R162" i="2" s="1"/>
  <c r="T162" i="2" s="1"/>
  <c r="W162" i="2"/>
  <c r="Z162" i="2" s="1"/>
  <c r="M162" i="2"/>
  <c r="P162" i="2" s="1"/>
  <c r="N162" i="2"/>
  <c r="BH162" i="2"/>
  <c r="BK162" i="2" s="1"/>
  <c r="BM162" i="2" s="1"/>
  <c r="BG162" i="2"/>
  <c r="BJ162" i="2" s="1"/>
  <c r="BF162" i="2"/>
  <c r="BI162" i="2" s="1"/>
  <c r="BL162" i="2" s="1"/>
  <c r="BN162" i="2" s="1"/>
  <c r="AY162" i="2"/>
  <c r="BB162" i="2" s="1"/>
  <c r="BD162" i="2" s="1"/>
  <c r="AX162" i="2"/>
  <c r="BA162" i="2" s="1"/>
  <c r="AW162" i="2"/>
  <c r="AZ162" i="2" s="1"/>
  <c r="BC162" i="2" s="1"/>
  <c r="BE162" i="2" s="1"/>
  <c r="AP162" i="2"/>
  <c r="AS162" i="2" s="1"/>
  <c r="AU162" i="2" s="1"/>
  <c r="AO162" i="2"/>
  <c r="AR162" i="2" s="1"/>
  <c r="AN162" i="2"/>
  <c r="AQ162" i="2" s="1"/>
  <c r="AT162" i="2" s="1"/>
  <c r="AV162" i="2" s="1"/>
  <c r="AG162" i="2"/>
  <c r="AJ162" i="2" s="1"/>
  <c r="AL162" i="2" s="1"/>
  <c r="AF162" i="2"/>
  <c r="AI162" i="2" s="1"/>
  <c r="AE162" i="2"/>
  <c r="AH162" i="2" s="1"/>
  <c r="AK162" i="2" s="1"/>
  <c r="AM162" i="2" s="1"/>
  <c r="X162" i="2"/>
  <c r="AA162" i="2" s="1"/>
  <c r="AC162" i="2" s="1"/>
  <c r="V162" i="2"/>
  <c r="L163" i="2"/>
  <c r="AW145" i="2"/>
  <c r="AP145" i="2"/>
  <c r="AE145" i="2"/>
  <c r="AF145" i="2"/>
  <c r="AI145" i="2" s="1"/>
  <c r="AG145" i="2"/>
  <c r="M145" i="2"/>
  <c r="N145" i="2"/>
  <c r="O145" i="2"/>
  <c r="AN145" i="2"/>
  <c r="AO145" i="2"/>
  <c r="AR145" i="2" s="1"/>
  <c r="V145" i="2"/>
  <c r="W145" i="2"/>
  <c r="Z145" i="2" s="1"/>
  <c r="X145" i="2"/>
  <c r="BH145" i="2"/>
  <c r="BG145" i="2"/>
  <c r="BJ145" i="2" s="1"/>
  <c r="BF145" i="2"/>
  <c r="AY145" i="2"/>
  <c r="AX145" i="2"/>
  <c r="BA145" i="2" s="1"/>
  <c r="L146" i="2"/>
  <c r="AW122" i="2"/>
  <c r="AZ122" i="2" s="1"/>
  <c r="BC122" i="2" s="1"/>
  <c r="AX122" i="2"/>
  <c r="BA122" i="2" s="1"/>
  <c r="AY122" i="2"/>
  <c r="BB122" i="2" s="1"/>
  <c r="BD122" i="2" s="1"/>
  <c r="BF122" i="2"/>
  <c r="BI122" i="2" s="1"/>
  <c r="BH122" i="2"/>
  <c r="BK122" i="2" s="1"/>
  <c r="BM122" i="2" s="1"/>
  <c r="W122" i="2"/>
  <c r="Z122" i="2" s="1"/>
  <c r="AF122" i="2"/>
  <c r="AI122" i="2" s="1"/>
  <c r="M122" i="2"/>
  <c r="P122" i="2" s="1"/>
  <c r="N122" i="2"/>
  <c r="O122" i="2"/>
  <c r="R122" i="2" s="1"/>
  <c r="T122" i="2" s="1"/>
  <c r="V122" i="2"/>
  <c r="X122" i="2"/>
  <c r="AA122" i="2" s="1"/>
  <c r="AC122" i="2" s="1"/>
  <c r="AE122" i="2"/>
  <c r="AH122" i="2" s="1"/>
  <c r="AK122" i="2" s="1"/>
  <c r="AG122" i="2"/>
  <c r="AJ122" i="2" s="1"/>
  <c r="AL122" i="2" s="1"/>
  <c r="AN122" i="2"/>
  <c r="AQ122" i="2" s="1"/>
  <c r="BG122" i="2"/>
  <c r="BJ122" i="2" s="1"/>
  <c r="AO122" i="2"/>
  <c r="AR122" i="2" s="1"/>
  <c r="AP122" i="2"/>
  <c r="AS122" i="2" s="1"/>
  <c r="AU122" i="2" s="1"/>
  <c r="L123" i="2"/>
  <c r="AP106" i="2"/>
  <c r="AS106" i="2" s="1"/>
  <c r="AU106" i="2" s="1"/>
  <c r="BH106" i="2"/>
  <c r="BK106" i="2" s="1"/>
  <c r="BM106" i="2" s="1"/>
  <c r="BG106" i="2"/>
  <c r="BJ106" i="2" s="1"/>
  <c r="BF106" i="2"/>
  <c r="BI106" i="2" s="1"/>
  <c r="BL106" i="2" s="1"/>
  <c r="BN106" i="2" s="1"/>
  <c r="AY106" i="2"/>
  <c r="BB106" i="2" s="1"/>
  <c r="BD106" i="2" s="1"/>
  <c r="AF106" i="2"/>
  <c r="AI106" i="2" s="1"/>
  <c r="AE106" i="2"/>
  <c r="AH106" i="2" s="1"/>
  <c r="AK106" i="2" s="1"/>
  <c r="X106" i="2"/>
  <c r="AA106" i="2" s="1"/>
  <c r="AC106" i="2" s="1"/>
  <c r="AX106" i="2"/>
  <c r="BA106" i="2" s="1"/>
  <c r="W106" i="2"/>
  <c r="Z106" i="2" s="1"/>
  <c r="V106" i="2"/>
  <c r="O106" i="2"/>
  <c r="R106" i="2" s="1"/>
  <c r="T106" i="2" s="1"/>
  <c r="N106" i="2"/>
  <c r="M106" i="2"/>
  <c r="P106" i="2" s="1"/>
  <c r="AW106" i="2"/>
  <c r="AZ106" i="2" s="1"/>
  <c r="BC106" i="2" s="1"/>
  <c r="BE106" i="2" s="1"/>
  <c r="AO106" i="2"/>
  <c r="AR106" i="2" s="1"/>
  <c r="AN106" i="2"/>
  <c r="AQ106" i="2" s="1"/>
  <c r="AT106" i="2" s="1"/>
  <c r="AV106" i="2" s="1"/>
  <c r="AG106" i="2"/>
  <c r="AJ106" i="2" s="1"/>
  <c r="AL106" i="2" s="1"/>
  <c r="L107" i="2"/>
  <c r="AP82" i="2"/>
  <c r="AS82" i="2" s="1"/>
  <c r="AU82" i="2" s="1"/>
  <c r="N82" i="2"/>
  <c r="AO82" i="2"/>
  <c r="AR82" i="2" s="1"/>
  <c r="AN82" i="2"/>
  <c r="AQ82" i="2" s="1"/>
  <c r="AT82" i="2" s="1"/>
  <c r="AV82" i="2" s="1"/>
  <c r="AG82" i="2"/>
  <c r="AJ82" i="2" s="1"/>
  <c r="AL82" i="2" s="1"/>
  <c r="AW82" i="2"/>
  <c r="AZ82" i="2" s="1"/>
  <c r="AF82" i="2"/>
  <c r="AI82" i="2" s="1"/>
  <c r="AX82" i="2"/>
  <c r="BA82" i="2" s="1"/>
  <c r="AE82" i="2"/>
  <c r="AH82" i="2" s="1"/>
  <c r="AK82" i="2" s="1"/>
  <c r="AM82" i="2" s="1"/>
  <c r="X82" i="2"/>
  <c r="AA82" i="2" s="1"/>
  <c r="AC82" i="2" s="1"/>
  <c r="W82" i="2"/>
  <c r="Z82" i="2" s="1"/>
  <c r="V82" i="2"/>
  <c r="AY82" i="2"/>
  <c r="BB82" i="2" s="1"/>
  <c r="BD82" i="2" s="1"/>
  <c r="O82" i="2"/>
  <c r="R82" i="2" s="1"/>
  <c r="T82" i="2" s="1"/>
  <c r="M82" i="2"/>
  <c r="P82" i="2" s="1"/>
  <c r="BF82" i="2"/>
  <c r="BI82" i="2" s="1"/>
  <c r="BL82" i="2" s="1"/>
  <c r="BN82" i="2" s="1"/>
  <c r="L83" i="2"/>
  <c r="L84" i="2" s="1"/>
  <c r="L85" i="2" s="1"/>
  <c r="L86" i="2" s="1"/>
  <c r="L87" i="2" s="1"/>
  <c r="L88" i="2" s="1"/>
  <c r="L89" i="2" s="1"/>
  <c r="L90" i="2" s="1"/>
  <c r="N62" i="2"/>
  <c r="M62" i="2"/>
  <c r="P62" i="2" s="1"/>
  <c r="AX62" i="2"/>
  <c r="BA62" i="2" s="1"/>
  <c r="AP62" i="2"/>
  <c r="AS62" i="2" s="1"/>
  <c r="AU62" i="2" s="1"/>
  <c r="AO62" i="2"/>
  <c r="AR62" i="2" s="1"/>
  <c r="AW62" i="2"/>
  <c r="AZ62" i="2" s="1"/>
  <c r="BC62" i="2" s="1"/>
  <c r="AN62" i="2"/>
  <c r="AQ62" i="2" s="1"/>
  <c r="AT62" i="2" s="1"/>
  <c r="AV62" i="2" s="1"/>
  <c r="AG62" i="2"/>
  <c r="AJ62" i="2" s="1"/>
  <c r="AL62" i="2" s="1"/>
  <c r="AF62" i="2"/>
  <c r="AI62" i="2" s="1"/>
  <c r="BF62" i="2"/>
  <c r="BI62" i="2" s="1"/>
  <c r="BG62" i="2"/>
  <c r="BJ62" i="2" s="1"/>
  <c r="V62" i="2"/>
  <c r="AY62" i="2"/>
  <c r="BB62" i="2" s="1"/>
  <c r="BD62" i="2" s="1"/>
  <c r="O62" i="2"/>
  <c r="R62" i="2" s="1"/>
  <c r="T62" i="2" s="1"/>
  <c r="BH62" i="2"/>
  <c r="BK62" i="2" s="1"/>
  <c r="BM62" i="2" s="1"/>
  <c r="AE62" i="2"/>
  <c r="AH62" i="2" s="1"/>
  <c r="AK62" i="2" s="1"/>
  <c r="AM62" i="2" s="1"/>
  <c r="X62" i="2"/>
  <c r="AA62" i="2" s="1"/>
  <c r="AC62" i="2" s="1"/>
  <c r="W62" i="2"/>
  <c r="Z62" i="2" s="1"/>
  <c r="L63" i="2"/>
  <c r="M22" i="2"/>
  <c r="P22" i="2" s="1"/>
  <c r="N22" i="2"/>
  <c r="W22" i="2"/>
  <c r="Z22" i="2" s="1"/>
  <c r="V22" i="2"/>
  <c r="O22" i="2"/>
  <c r="R22" i="2" s="1"/>
  <c r="T22" i="2" s="1"/>
  <c r="A42" i="2"/>
  <c r="B62" i="2"/>
  <c r="A43" i="2"/>
  <c r="B63" i="2"/>
  <c r="A44" i="2"/>
  <c r="B64" i="2"/>
  <c r="A45" i="2"/>
  <c r="B65" i="2"/>
  <c r="P105" i="2"/>
  <c r="S105" i="2" s="1"/>
  <c r="E125" i="2"/>
  <c r="E145" i="2" s="1"/>
  <c r="E165" i="2" s="1"/>
  <c r="R105" i="2"/>
  <c r="T105" i="2" s="1"/>
  <c r="G125" i="2"/>
  <c r="G145" i="2" s="1"/>
  <c r="G165" i="2" s="1"/>
  <c r="A46" i="2"/>
  <c r="B66" i="2"/>
  <c r="AQ166" i="2"/>
  <c r="AZ166" i="2"/>
  <c r="BI166" i="2"/>
  <c r="P166" i="2"/>
  <c r="S166" i="2" s="1"/>
  <c r="AH166" i="2"/>
  <c r="Z166" i="2"/>
  <c r="AB166" i="2" s="1"/>
  <c r="AI166" i="2"/>
  <c r="AR166" i="2"/>
  <c r="BA166" i="2"/>
  <c r="BJ166" i="2"/>
  <c r="AJ166" i="2"/>
  <c r="AL166" i="2" s="1"/>
  <c r="AS166" i="2"/>
  <c r="AU166" i="2" s="1"/>
  <c r="BB166" i="2"/>
  <c r="BD166" i="2" s="1"/>
  <c r="BK166" i="2"/>
  <c r="BM166" i="2" s="1"/>
  <c r="R166" i="2"/>
  <c r="T166" i="2" s="1"/>
  <c r="AA166" i="2"/>
  <c r="AC166" i="2" s="1"/>
  <c r="A47" i="2"/>
  <c r="B67" i="2"/>
  <c r="AZ167" i="2"/>
  <c r="BI167" i="2"/>
  <c r="P167" i="2"/>
  <c r="S167" i="2" s="1"/>
  <c r="AH167" i="2"/>
  <c r="AQ167" i="2"/>
  <c r="AR167" i="2"/>
  <c r="BA167" i="2"/>
  <c r="BJ167" i="2"/>
  <c r="Z167" i="2"/>
  <c r="AB167" i="2" s="1"/>
  <c r="AI167" i="2"/>
  <c r="R167" i="2"/>
  <c r="T167" i="2" s="1"/>
  <c r="AA167" i="2"/>
  <c r="AC167" i="2" s="1"/>
  <c r="AJ167" i="2"/>
  <c r="AL167" i="2" s="1"/>
  <c r="AS167" i="2"/>
  <c r="AU167" i="2" s="1"/>
  <c r="BB167" i="2"/>
  <c r="BD167" i="2" s="1"/>
  <c r="BK167" i="2"/>
  <c r="BM167" i="2" s="1"/>
  <c r="A48" i="2"/>
  <c r="B68" i="2"/>
  <c r="P168" i="2"/>
  <c r="S168" i="2" s="1"/>
  <c r="AH168" i="2"/>
  <c r="BI168" i="2"/>
  <c r="AQ168" i="2"/>
  <c r="AZ168" i="2"/>
  <c r="Z168" i="2"/>
  <c r="AB168" i="2" s="1"/>
  <c r="AI168" i="2"/>
  <c r="AR168" i="2"/>
  <c r="BA168" i="2"/>
  <c r="BJ168" i="2"/>
  <c r="BK168" i="2"/>
  <c r="BM168" i="2" s="1"/>
  <c r="R168" i="2"/>
  <c r="T168" i="2" s="1"/>
  <c r="AA168" i="2"/>
  <c r="AC168" i="2" s="1"/>
  <c r="AJ168" i="2"/>
  <c r="AL168" i="2" s="1"/>
  <c r="AS168" i="2"/>
  <c r="AU168" i="2" s="1"/>
  <c r="BB168" i="2"/>
  <c r="BD168" i="2" s="1"/>
  <c r="A49" i="2"/>
  <c r="B69" i="2"/>
  <c r="BA169" i="2"/>
  <c r="BC169" i="2" s="1"/>
  <c r="BE169" i="2" s="1"/>
  <c r="BJ169" i="2"/>
  <c r="BL169" i="2" s="1"/>
  <c r="BN169" i="2" s="1"/>
  <c r="Z169" i="2"/>
  <c r="AB169" i="2" s="1"/>
  <c r="AD169" i="2" s="1"/>
  <c r="AI169" i="2"/>
  <c r="AK169" i="2" s="1"/>
  <c r="AM169" i="2" s="1"/>
  <c r="AR169" i="2"/>
  <c r="AT169" i="2" s="1"/>
  <c r="AV169" i="2" s="1"/>
  <c r="A50" i="2"/>
  <c r="B70" i="2"/>
  <c r="P170" i="2"/>
  <c r="S170" i="2" s="1"/>
  <c r="AH170" i="2"/>
  <c r="AQ170" i="2"/>
  <c r="AZ170" i="2"/>
  <c r="BI170" i="2"/>
  <c r="Z170" i="2"/>
  <c r="AB170" i="2" s="1"/>
  <c r="AI170" i="2"/>
  <c r="AR170" i="2"/>
  <c r="BA170" i="2"/>
  <c r="BJ170" i="2"/>
  <c r="R170" i="2"/>
  <c r="T170" i="2" s="1"/>
  <c r="AJ170" i="2"/>
  <c r="AL170" i="2" s="1"/>
  <c r="AS170" i="2"/>
  <c r="AU170" i="2" s="1"/>
  <c r="BB170" i="2"/>
  <c r="BD170" i="2" s="1"/>
  <c r="BK170" i="2"/>
  <c r="BM170" i="2" s="1"/>
  <c r="AA170" i="2"/>
  <c r="AC170" i="2" s="1"/>
  <c r="A41" i="2"/>
  <c r="B61" i="2"/>
  <c r="AT87" i="2"/>
  <c r="AV87" i="2" s="1"/>
  <c r="BL85" i="2"/>
  <c r="BN85" i="2" s="1"/>
  <c r="AT130" i="2"/>
  <c r="AV130" i="2" s="1"/>
  <c r="BL88" i="2"/>
  <c r="BN88" i="2" s="1"/>
  <c r="BL87" i="2"/>
  <c r="BN87" i="2" s="1"/>
  <c r="BC87" i="2"/>
  <c r="BE87" i="2" s="1"/>
  <c r="BL130" i="2"/>
  <c r="BN130" i="2" s="1"/>
  <c r="AM130" i="2"/>
  <c r="AT41" i="2"/>
  <c r="AV41" i="2" s="1"/>
  <c r="AT21" i="2"/>
  <c r="AV21" i="2" s="1"/>
  <c r="BC21" i="2"/>
  <c r="BE21" i="2" s="1"/>
  <c r="AK86" i="2"/>
  <c r="AM86" i="2" s="1"/>
  <c r="AK87" i="2"/>
  <c r="AM87" i="2" s="1"/>
  <c r="AK61" i="2"/>
  <c r="AM61" i="2" s="1"/>
  <c r="BL41" i="2"/>
  <c r="BN41" i="2" s="1"/>
  <c r="BC141" i="2"/>
  <c r="BC103" i="2"/>
  <c r="BE103" i="2" s="1"/>
  <c r="BC101" i="2"/>
  <c r="BE101" i="2" s="1"/>
  <c r="AT101" i="2"/>
  <c r="AV101" i="2" s="1"/>
  <c r="AK101" i="2"/>
  <c r="AM101" i="2" s="1"/>
  <c r="AK161" i="2"/>
  <c r="BL2" i="2"/>
  <c r="BN2" i="2" s="1"/>
  <c r="BC22" i="2"/>
  <c r="BE22" i="2" s="1"/>
  <c r="AT2" i="2"/>
  <c r="AV2" i="2" s="1"/>
  <c r="AD104" i="2"/>
  <c r="U104" i="2"/>
  <c r="AB103" i="2"/>
  <c r="AD103" i="2" s="1"/>
  <c r="AB89" i="2"/>
  <c r="AD89" i="2" s="1"/>
  <c r="S88" i="2"/>
  <c r="U88" i="2" s="1"/>
  <c r="AB88" i="2"/>
  <c r="AD88" i="2" s="1"/>
  <c r="U87" i="2"/>
  <c r="AD86" i="2"/>
  <c r="Q121" i="2"/>
  <c r="S121" i="2" s="1"/>
  <c r="U121" i="2" s="1"/>
  <c r="Y121" i="2"/>
  <c r="AB121" i="2" s="1"/>
  <c r="AD121" i="2" s="1"/>
  <c r="Y81" i="2"/>
  <c r="AB81" i="2" s="1"/>
  <c r="AD81" i="2" s="1"/>
  <c r="Q81" i="2"/>
  <c r="S81" i="2" s="1"/>
  <c r="U81" i="2" s="1"/>
  <c r="Y61" i="2"/>
  <c r="AB61" i="2" s="1"/>
  <c r="AD61" i="2" s="1"/>
  <c r="Q61" i="2"/>
  <c r="S61" i="2" s="1"/>
  <c r="U61" i="2" s="1"/>
  <c r="L43" i="2"/>
  <c r="N42" i="2"/>
  <c r="O42" i="2"/>
  <c r="R42" i="2" s="1"/>
  <c r="T42" i="2" s="1"/>
  <c r="V42" i="2"/>
  <c r="W42" i="2"/>
  <c r="Z42" i="2" s="1"/>
  <c r="X42" i="2"/>
  <c r="AA42" i="2" s="1"/>
  <c r="AC42" i="2" s="1"/>
  <c r="AE42" i="2"/>
  <c r="AH42" i="2" s="1"/>
  <c r="AF42" i="2"/>
  <c r="AI42" i="2" s="1"/>
  <c r="AG42" i="2"/>
  <c r="AJ42" i="2" s="1"/>
  <c r="AL42" i="2" s="1"/>
  <c r="AN42" i="2"/>
  <c r="AQ42" i="2" s="1"/>
  <c r="AO42" i="2"/>
  <c r="AR42" i="2" s="1"/>
  <c r="AP42" i="2"/>
  <c r="AS42" i="2" s="1"/>
  <c r="AU42" i="2" s="1"/>
  <c r="AW42" i="2"/>
  <c r="AZ42" i="2" s="1"/>
  <c r="AX42" i="2"/>
  <c r="BA42" i="2" s="1"/>
  <c r="AY42" i="2"/>
  <c r="BB42" i="2" s="1"/>
  <c r="BD42" i="2" s="1"/>
  <c r="BF42" i="2"/>
  <c r="BI42" i="2" s="1"/>
  <c r="BG42" i="2"/>
  <c r="BJ42" i="2" s="1"/>
  <c r="BH42" i="2"/>
  <c r="BK42" i="2" s="1"/>
  <c r="BM42" i="2" s="1"/>
  <c r="M42" i="2"/>
  <c r="P42" i="2" s="1"/>
  <c r="BL81" i="2"/>
  <c r="BN81" i="2" s="1"/>
  <c r="AK81" i="2"/>
  <c r="AM81" i="2" s="1"/>
  <c r="AP23" i="2"/>
  <c r="AS23" i="2" s="1"/>
  <c r="AU23" i="2" s="1"/>
  <c r="AW23" i="2"/>
  <c r="AZ23" i="2" s="1"/>
  <c r="AX23" i="2"/>
  <c r="BA23" i="2" s="1"/>
  <c r="M23" i="2"/>
  <c r="P23" i="2" s="1"/>
  <c r="N23" i="2"/>
  <c r="O23" i="2"/>
  <c r="R23" i="2" s="1"/>
  <c r="T23" i="2" s="1"/>
  <c r="V23" i="2"/>
  <c r="W23" i="2"/>
  <c r="Z23" i="2" s="1"/>
  <c r="X23" i="2"/>
  <c r="AA23" i="2" s="1"/>
  <c r="AC23" i="2" s="1"/>
  <c r="AE23" i="2"/>
  <c r="AH23" i="2" s="1"/>
  <c r="AF23" i="2"/>
  <c r="AI23" i="2" s="1"/>
  <c r="AG23" i="2"/>
  <c r="AJ23" i="2" s="1"/>
  <c r="AL23" i="2" s="1"/>
  <c r="AN23" i="2"/>
  <c r="AQ23" i="2" s="1"/>
  <c r="AO23" i="2"/>
  <c r="AR23" i="2" s="1"/>
  <c r="BH23" i="2"/>
  <c r="BK23" i="2" s="1"/>
  <c r="BM23" i="2" s="1"/>
  <c r="BG23" i="2"/>
  <c r="BJ23" i="2" s="1"/>
  <c r="BF23" i="2"/>
  <c r="BI23" i="2" s="1"/>
  <c r="BL23" i="2" s="1"/>
  <c r="BN23" i="2" s="1"/>
  <c r="AY23" i="2"/>
  <c r="BB23" i="2" s="1"/>
  <c r="BD23" i="2" s="1"/>
  <c r="L24" i="2"/>
  <c r="BL141" i="2"/>
  <c r="BN141" i="2" s="1"/>
  <c r="BE141" i="2"/>
  <c r="AT141" i="2"/>
  <c r="AV141" i="2" s="1"/>
  <c r="AK141" i="2"/>
  <c r="AM141" i="2" s="1"/>
  <c r="AK121" i="2"/>
  <c r="AM121" i="2" s="1"/>
  <c r="BL103" i="2"/>
  <c r="BN103" i="2" s="1"/>
  <c r="AK103" i="2"/>
  <c r="AM103" i="2" s="1"/>
  <c r="BL164" i="2"/>
  <c r="BN164" i="2" s="1"/>
  <c r="BC161" i="2"/>
  <c r="BE161" i="2" s="1"/>
  <c r="AM161" i="2"/>
  <c r="AT121" i="2"/>
  <c r="AV121" i="2" s="1"/>
  <c r="AT103" i="2"/>
  <c r="AV103" i="2" s="1"/>
  <c r="AK22" i="2"/>
  <c r="AM22" i="2" s="1"/>
  <c r="AT22" i="2"/>
  <c r="AV22" i="2" s="1"/>
  <c r="AT161" i="2"/>
  <c r="AV161" i="2" s="1"/>
  <c r="BL161" i="2"/>
  <c r="BN161" i="2" s="1"/>
  <c r="S161" i="2"/>
  <c r="U161" i="2" s="1"/>
  <c r="AB161" i="2"/>
  <c r="AD161" i="2" s="1"/>
  <c r="S144" i="2"/>
  <c r="U144" i="2" s="1"/>
  <c r="AB144" i="2"/>
  <c r="AD144" i="2" s="1"/>
  <c r="S143" i="2"/>
  <c r="U143" i="2" s="1"/>
  <c r="AB143" i="2"/>
  <c r="AD143" i="2" s="1"/>
  <c r="S141" i="2"/>
  <c r="U141" i="2" s="1"/>
  <c r="AB141" i="2"/>
  <c r="AD141" i="2" s="1"/>
  <c r="S103" i="2"/>
  <c r="U103" i="2" s="1"/>
  <c r="S101" i="2"/>
  <c r="U101" i="2" s="1"/>
  <c r="AB101" i="2"/>
  <c r="AD101" i="2" s="1"/>
  <c r="AB84" i="2"/>
  <c r="AD84" i="2" s="1"/>
  <c r="S84" i="2"/>
  <c r="U84" i="2" s="1"/>
  <c r="S83" i="2"/>
  <c r="U83" i="2" s="1"/>
  <c r="AB83" i="2"/>
  <c r="AD83" i="2" s="1"/>
  <c r="Q41" i="2"/>
  <c r="S41" i="2" s="1"/>
  <c r="U41" i="2" s="1"/>
  <c r="Y41" i="2"/>
  <c r="AB41" i="2" s="1"/>
  <c r="AD41" i="2" s="1"/>
  <c r="AE3" i="2"/>
  <c r="AH3" i="2" s="1"/>
  <c r="AF3" i="2"/>
  <c r="AI3" i="2" s="1"/>
  <c r="AG3" i="2"/>
  <c r="AJ3" i="2" s="1"/>
  <c r="AL3" i="2" s="1"/>
  <c r="AN3" i="2"/>
  <c r="AQ3" i="2" s="1"/>
  <c r="AO3" i="2"/>
  <c r="AR3" i="2" s="1"/>
  <c r="AP3" i="2"/>
  <c r="AS3" i="2" s="1"/>
  <c r="AU3" i="2" s="1"/>
  <c r="AW3" i="2"/>
  <c r="AZ3" i="2" s="1"/>
  <c r="AX3" i="2"/>
  <c r="BA3" i="2" s="1"/>
  <c r="AY3" i="2"/>
  <c r="BB3" i="2" s="1"/>
  <c r="BD3" i="2" s="1"/>
  <c r="BF3" i="2"/>
  <c r="BI3" i="2" s="1"/>
  <c r="BG3" i="2"/>
  <c r="BJ3" i="2" s="1"/>
  <c r="BH3" i="2"/>
  <c r="BK3" i="2" s="1"/>
  <c r="BM3" i="2" s="1"/>
  <c r="V3" i="2"/>
  <c r="W3" i="2"/>
  <c r="Z3" i="2" s="1"/>
  <c r="X3" i="2"/>
  <c r="AA3" i="2" s="1"/>
  <c r="AC3" i="2" s="1"/>
  <c r="Q2" i="2"/>
  <c r="S2" i="2" s="1"/>
  <c r="U2" i="2" s="1"/>
  <c r="Y2" i="2"/>
  <c r="AB2" i="2" s="1"/>
  <c r="AD2" i="2" s="1"/>
  <c r="M3" i="2"/>
  <c r="P3" i="2" s="1"/>
  <c r="N3" i="2"/>
  <c r="O3" i="2"/>
  <c r="R3" i="2" s="1"/>
  <c r="T3" i="2" s="1"/>
  <c r="L4" i="2"/>
  <c r="Y162" i="2" l="1"/>
  <c r="AB162" i="2" s="1"/>
  <c r="AD162" i="2" s="1"/>
  <c r="Q162" i="2"/>
  <c r="S162" i="2" s="1"/>
  <c r="U162" i="2" s="1"/>
  <c r="BG163" i="2"/>
  <c r="BJ163" i="2" s="1"/>
  <c r="V163" i="2"/>
  <c r="O163" i="2"/>
  <c r="R163" i="2" s="1"/>
  <c r="T163" i="2" s="1"/>
  <c r="N163" i="2"/>
  <c r="BH163" i="2"/>
  <c r="BK163" i="2" s="1"/>
  <c r="BM163" i="2" s="1"/>
  <c r="W163" i="2"/>
  <c r="Z163" i="2" s="1"/>
  <c r="AO163" i="2"/>
  <c r="AR163" i="2" s="1"/>
  <c r="BF163" i="2"/>
  <c r="BI163" i="2" s="1"/>
  <c r="BL163" i="2" s="1"/>
  <c r="BN163" i="2" s="1"/>
  <c r="AY163" i="2"/>
  <c r="BB163" i="2" s="1"/>
  <c r="BD163" i="2" s="1"/>
  <c r="AX163" i="2"/>
  <c r="BA163" i="2" s="1"/>
  <c r="AW163" i="2"/>
  <c r="AZ163" i="2" s="1"/>
  <c r="BC163" i="2" s="1"/>
  <c r="BE163" i="2" s="1"/>
  <c r="AP163" i="2"/>
  <c r="AS163" i="2" s="1"/>
  <c r="AU163" i="2" s="1"/>
  <c r="M163" i="2"/>
  <c r="P163" i="2" s="1"/>
  <c r="AN163" i="2"/>
  <c r="AQ163" i="2" s="1"/>
  <c r="AT163" i="2" s="1"/>
  <c r="AV163" i="2" s="1"/>
  <c r="AG163" i="2"/>
  <c r="AJ163" i="2" s="1"/>
  <c r="AL163" i="2" s="1"/>
  <c r="AF163" i="2"/>
  <c r="AI163" i="2" s="1"/>
  <c r="AE163" i="2"/>
  <c r="AH163" i="2" s="1"/>
  <c r="X163" i="2"/>
  <c r="AA163" i="2" s="1"/>
  <c r="AC163" i="2" s="1"/>
  <c r="L164" i="2"/>
  <c r="Y145" i="2"/>
  <c r="AB145" i="2" s="1"/>
  <c r="Q145" i="2"/>
  <c r="N146" i="2"/>
  <c r="M146" i="2"/>
  <c r="P146" i="2" s="1"/>
  <c r="BH146" i="2"/>
  <c r="BK146" i="2" s="1"/>
  <c r="BM146" i="2" s="1"/>
  <c r="BG146" i="2"/>
  <c r="BJ146" i="2" s="1"/>
  <c r="BF146" i="2"/>
  <c r="BI146" i="2" s="1"/>
  <c r="BL146" i="2" s="1"/>
  <c r="BN146" i="2" s="1"/>
  <c r="AY146" i="2"/>
  <c r="BB146" i="2" s="1"/>
  <c r="BD146" i="2" s="1"/>
  <c r="AX146" i="2"/>
  <c r="BA146" i="2" s="1"/>
  <c r="AW146" i="2"/>
  <c r="AZ146" i="2" s="1"/>
  <c r="BC146" i="2" s="1"/>
  <c r="BE146" i="2" s="1"/>
  <c r="AG146" i="2"/>
  <c r="AJ146" i="2" s="1"/>
  <c r="AL146" i="2" s="1"/>
  <c r="AP146" i="2"/>
  <c r="AS146" i="2" s="1"/>
  <c r="AU146" i="2" s="1"/>
  <c r="O146" i="2"/>
  <c r="R146" i="2" s="1"/>
  <c r="T146" i="2" s="1"/>
  <c r="AN146" i="2"/>
  <c r="AQ146" i="2" s="1"/>
  <c r="AO146" i="2"/>
  <c r="AR146" i="2" s="1"/>
  <c r="AF146" i="2"/>
  <c r="AI146" i="2" s="1"/>
  <c r="AE146" i="2"/>
  <c r="AH146" i="2" s="1"/>
  <c r="AK146" i="2" s="1"/>
  <c r="AM146" i="2" s="1"/>
  <c r="X146" i="2"/>
  <c r="AA146" i="2" s="1"/>
  <c r="AC146" i="2" s="1"/>
  <c r="W146" i="2"/>
  <c r="Z146" i="2" s="1"/>
  <c r="V146" i="2"/>
  <c r="L147" i="2"/>
  <c r="Q122" i="2"/>
  <c r="S122" i="2" s="1"/>
  <c r="U122" i="2" s="1"/>
  <c r="Y122" i="2"/>
  <c r="AB122" i="2" s="1"/>
  <c r="AD122" i="2" s="1"/>
  <c r="AY123" i="2"/>
  <c r="BB123" i="2" s="1"/>
  <c r="BD123" i="2" s="1"/>
  <c r="AP123" i="2"/>
  <c r="AS123" i="2" s="1"/>
  <c r="AU123" i="2" s="1"/>
  <c r="X123" i="2"/>
  <c r="AA123" i="2" s="1"/>
  <c r="AC123" i="2" s="1"/>
  <c r="W123" i="2"/>
  <c r="Z123" i="2" s="1"/>
  <c r="AW123" i="2"/>
  <c r="AZ123" i="2" s="1"/>
  <c r="AX123" i="2"/>
  <c r="BA123" i="2" s="1"/>
  <c r="O123" i="2"/>
  <c r="R123" i="2" s="1"/>
  <c r="T123" i="2" s="1"/>
  <c r="BF123" i="2"/>
  <c r="BI123" i="2" s="1"/>
  <c r="N123" i="2"/>
  <c r="M123" i="2"/>
  <c r="P123" i="2" s="1"/>
  <c r="BH123" i="2"/>
  <c r="BK123" i="2" s="1"/>
  <c r="BM123" i="2" s="1"/>
  <c r="BG123" i="2"/>
  <c r="BJ123" i="2" s="1"/>
  <c r="AE123" i="2"/>
  <c r="AH123" i="2" s="1"/>
  <c r="AF123" i="2"/>
  <c r="AI123" i="2" s="1"/>
  <c r="AG123" i="2"/>
  <c r="AJ123" i="2" s="1"/>
  <c r="AL123" i="2" s="1"/>
  <c r="AN123" i="2"/>
  <c r="AQ123" i="2" s="1"/>
  <c r="AO123" i="2"/>
  <c r="AR123" i="2" s="1"/>
  <c r="V123" i="2"/>
  <c r="L124" i="2"/>
  <c r="Q106" i="2"/>
  <c r="S106" i="2" s="1"/>
  <c r="U106" i="2" s="1"/>
  <c r="Y106" i="2"/>
  <c r="AB106" i="2" s="1"/>
  <c r="AD106" i="2" s="1"/>
  <c r="W107" i="2"/>
  <c r="Z107" i="2" s="1"/>
  <c r="X107" i="2"/>
  <c r="AA107" i="2" s="1"/>
  <c r="AC107" i="2" s="1"/>
  <c r="AE107" i="2"/>
  <c r="AH107" i="2" s="1"/>
  <c r="AF107" i="2"/>
  <c r="AI107" i="2" s="1"/>
  <c r="AG107" i="2"/>
  <c r="AJ107" i="2" s="1"/>
  <c r="AL107" i="2" s="1"/>
  <c r="AN107" i="2"/>
  <c r="AQ107" i="2" s="1"/>
  <c r="AO107" i="2"/>
  <c r="AR107" i="2" s="1"/>
  <c r="AP107" i="2"/>
  <c r="AS107" i="2" s="1"/>
  <c r="AU107" i="2" s="1"/>
  <c r="AX107" i="2"/>
  <c r="BA107" i="2" s="1"/>
  <c r="AY107" i="2"/>
  <c r="BB107" i="2" s="1"/>
  <c r="BD107" i="2" s="1"/>
  <c r="BF107" i="2"/>
  <c r="BI107" i="2" s="1"/>
  <c r="BG107" i="2"/>
  <c r="BJ107" i="2" s="1"/>
  <c r="BH107" i="2"/>
  <c r="BK107" i="2" s="1"/>
  <c r="BM107" i="2" s="1"/>
  <c r="O107" i="2"/>
  <c r="R107" i="2" s="1"/>
  <c r="T107" i="2" s="1"/>
  <c r="M107" i="2"/>
  <c r="P107" i="2" s="1"/>
  <c r="N107" i="2"/>
  <c r="V107" i="2"/>
  <c r="AW107" i="2"/>
  <c r="AZ107" i="2" s="1"/>
  <c r="BC107" i="2" s="1"/>
  <c r="BE107" i="2" s="1"/>
  <c r="L108" i="2"/>
  <c r="Q82" i="2"/>
  <c r="S82" i="2" s="1"/>
  <c r="U82" i="2" s="1"/>
  <c r="Y82" i="2"/>
  <c r="AB82" i="2" s="1"/>
  <c r="AD82" i="2" s="1"/>
  <c r="Q62" i="2"/>
  <c r="S62" i="2" s="1"/>
  <c r="U62" i="2" s="1"/>
  <c r="Y62" i="2"/>
  <c r="AB62" i="2" s="1"/>
  <c r="AD62" i="2" s="1"/>
  <c r="N63" i="2"/>
  <c r="AP63" i="2"/>
  <c r="AS63" i="2" s="1"/>
  <c r="AU63" i="2" s="1"/>
  <c r="AX63" i="2"/>
  <c r="BA63" i="2" s="1"/>
  <c r="AY63" i="2"/>
  <c r="BB63" i="2" s="1"/>
  <c r="BD63" i="2" s="1"/>
  <c r="BF63" i="2"/>
  <c r="BI63" i="2" s="1"/>
  <c r="O63" i="2"/>
  <c r="R63" i="2" s="1"/>
  <c r="T63" i="2" s="1"/>
  <c r="BG63" i="2"/>
  <c r="BJ63" i="2" s="1"/>
  <c r="W63" i="2"/>
  <c r="Z63" i="2" s="1"/>
  <c r="AG63" i="2"/>
  <c r="AJ63" i="2" s="1"/>
  <c r="AL63" i="2" s="1"/>
  <c r="M63" i="2"/>
  <c r="P63" i="2" s="1"/>
  <c r="AW63" i="2"/>
  <c r="AZ63" i="2" s="1"/>
  <c r="AE63" i="2"/>
  <c r="AH63" i="2" s="1"/>
  <c r="AO63" i="2"/>
  <c r="AR63" i="2" s="1"/>
  <c r="AF63" i="2"/>
  <c r="AI63" i="2" s="1"/>
  <c r="V63" i="2"/>
  <c r="AN63" i="2"/>
  <c r="AQ63" i="2" s="1"/>
  <c r="AT63" i="2" s="1"/>
  <c r="X63" i="2"/>
  <c r="AA63" i="2" s="1"/>
  <c r="AC63" i="2" s="1"/>
  <c r="BH63" i="2"/>
  <c r="BK63" i="2" s="1"/>
  <c r="BM63" i="2" s="1"/>
  <c r="L64" i="2"/>
  <c r="Y22" i="2"/>
  <c r="AB22" i="2" s="1"/>
  <c r="AD22" i="2" s="1"/>
  <c r="Q22" i="2"/>
  <c r="S22" i="2" s="1"/>
  <c r="U22" i="2" s="1"/>
  <c r="A62" i="2"/>
  <c r="B82" i="2"/>
  <c r="A63" i="2"/>
  <c r="B83" i="2"/>
  <c r="A64" i="2"/>
  <c r="B84" i="2"/>
  <c r="A65" i="2"/>
  <c r="B85" i="2"/>
  <c r="Y165" i="2"/>
  <c r="AB165" i="2" s="1"/>
  <c r="P165" i="2"/>
  <c r="S165" i="2" s="1"/>
  <c r="AH165" i="2"/>
  <c r="AK165" i="2" s="1"/>
  <c r="AQ165" i="2"/>
  <c r="AT165" i="2" s="1"/>
  <c r="AZ165" i="2"/>
  <c r="BC165" i="2" s="1"/>
  <c r="BI165" i="2"/>
  <c r="BL165" i="2" s="1"/>
  <c r="AJ165" i="2"/>
  <c r="AL165" i="2" s="1"/>
  <c r="BK165" i="2"/>
  <c r="BM165" i="2" s="1"/>
  <c r="AS165" i="2"/>
  <c r="AU165" i="2" s="1"/>
  <c r="BB165" i="2"/>
  <c r="BD165" i="2" s="1"/>
  <c r="R165" i="2"/>
  <c r="T165" i="2" s="1"/>
  <c r="AA165" i="2"/>
  <c r="AC165" i="2" s="1"/>
  <c r="A66" i="2"/>
  <c r="B86" i="2"/>
  <c r="B87" i="2"/>
  <c r="A67" i="2"/>
  <c r="B88" i="2"/>
  <c r="A68" i="2"/>
  <c r="A69" i="2"/>
  <c r="B89" i="2"/>
  <c r="A70" i="2"/>
  <c r="B90" i="2"/>
  <c r="A61" i="2"/>
  <c r="B81" i="2"/>
  <c r="M43" i="2"/>
  <c r="P43" i="2" s="1"/>
  <c r="N43" i="2"/>
  <c r="O43" i="2"/>
  <c r="R43" i="2" s="1"/>
  <c r="T43" i="2" s="1"/>
  <c r="V43" i="2"/>
  <c r="W43" i="2"/>
  <c r="Z43" i="2" s="1"/>
  <c r="X43" i="2"/>
  <c r="AA43" i="2" s="1"/>
  <c r="AC43" i="2" s="1"/>
  <c r="AE43" i="2"/>
  <c r="AH43" i="2" s="1"/>
  <c r="AF43" i="2"/>
  <c r="AI43" i="2" s="1"/>
  <c r="AG43" i="2"/>
  <c r="AJ43" i="2" s="1"/>
  <c r="AL43" i="2" s="1"/>
  <c r="AO43" i="2"/>
  <c r="AR43" i="2" s="1"/>
  <c r="AP43" i="2"/>
  <c r="AS43" i="2" s="1"/>
  <c r="AU43" i="2" s="1"/>
  <c r="AW43" i="2"/>
  <c r="AZ43" i="2" s="1"/>
  <c r="AX43" i="2"/>
  <c r="BA43" i="2" s="1"/>
  <c r="AY43" i="2"/>
  <c r="BB43" i="2" s="1"/>
  <c r="BD43" i="2" s="1"/>
  <c r="BF43" i="2"/>
  <c r="BI43" i="2" s="1"/>
  <c r="BG43" i="2"/>
  <c r="BJ43" i="2" s="1"/>
  <c r="BH43" i="2"/>
  <c r="BK43" i="2" s="1"/>
  <c r="BM43" i="2" s="1"/>
  <c r="AN43" i="2"/>
  <c r="AQ43" i="2" s="1"/>
  <c r="AT43" i="2" s="1"/>
  <c r="AV43" i="2" s="1"/>
  <c r="L44" i="2"/>
  <c r="Q42" i="2"/>
  <c r="S42" i="2" s="1"/>
  <c r="U42" i="2" s="1"/>
  <c r="Y42" i="2"/>
  <c r="AB42" i="2" s="1"/>
  <c r="AD42" i="2" s="1"/>
  <c r="AJ145" i="2"/>
  <c r="AL145" i="2" s="1"/>
  <c r="BE122" i="2"/>
  <c r="AT170" i="2"/>
  <c r="AV170" i="2" s="1"/>
  <c r="BE62" i="2"/>
  <c r="BL62" i="2"/>
  <c r="BN62" i="2" s="1"/>
  <c r="U105" i="2"/>
  <c r="AT166" i="2"/>
  <c r="AV166" i="2" s="1"/>
  <c r="BC166" i="2"/>
  <c r="BE166" i="2" s="1"/>
  <c r="BL166" i="2"/>
  <c r="BN166" i="2" s="1"/>
  <c r="U166" i="2"/>
  <c r="AK166" i="2"/>
  <c r="AM166" i="2" s="1"/>
  <c r="AD166" i="2"/>
  <c r="BC167" i="2"/>
  <c r="BE167" i="2" s="1"/>
  <c r="BL167" i="2"/>
  <c r="BN167" i="2" s="1"/>
  <c r="U167" i="2"/>
  <c r="AK167" i="2"/>
  <c r="AM167" i="2" s="1"/>
  <c r="AT167" i="2"/>
  <c r="AV167" i="2" s="1"/>
  <c r="AD167" i="2"/>
  <c r="AT168" i="2"/>
  <c r="AV168" i="2" s="1"/>
  <c r="BL170" i="2"/>
  <c r="BN170" i="2" s="1"/>
  <c r="AK42" i="2"/>
  <c r="AM42" i="2" s="1"/>
  <c r="AT42" i="2"/>
  <c r="AV42" i="2" s="1"/>
  <c r="BC42" i="2"/>
  <c r="BE42" i="2" s="1"/>
  <c r="BL42" i="2"/>
  <c r="BN42" i="2" s="1"/>
  <c r="AT23" i="2"/>
  <c r="AV23" i="2" s="1"/>
  <c r="AK3" i="2"/>
  <c r="AM3" i="2" s="1"/>
  <c r="BC3" i="2"/>
  <c r="BE3" i="2" s="1"/>
  <c r="BL3" i="2"/>
  <c r="BN3" i="2" s="1"/>
  <c r="BC82" i="2"/>
  <c r="BE82" i="2" s="1"/>
  <c r="U168" i="2"/>
  <c r="BC170" i="2"/>
  <c r="BE170" i="2" s="1"/>
  <c r="AZ145" i="2"/>
  <c r="BC145" i="2" s="1"/>
  <c r="R145" i="2"/>
  <c r="T145" i="2" s="1"/>
  <c r="BI145" i="2"/>
  <c r="BL145" i="2" s="1"/>
  <c r="AM122" i="2"/>
  <c r="BC168" i="2"/>
  <c r="BE168" i="2" s="1"/>
  <c r="AK170" i="2"/>
  <c r="AM170" i="2" s="1"/>
  <c r="AH145" i="2"/>
  <c r="AK145" i="2" s="1"/>
  <c r="AM145" i="2" s="1"/>
  <c r="BK145" i="2"/>
  <c r="BM145" i="2" s="1"/>
  <c r="BL122" i="2"/>
  <c r="BN122" i="2" s="1"/>
  <c r="AK168" i="2"/>
  <c r="AM168" i="2" s="1"/>
  <c r="AD168" i="2"/>
  <c r="AS145" i="2"/>
  <c r="AU145" i="2" s="1"/>
  <c r="P145" i="2"/>
  <c r="AQ145" i="2"/>
  <c r="AT145" i="2" s="1"/>
  <c r="AV145" i="2" s="1"/>
  <c r="AA145" i="2"/>
  <c r="AC145" i="2" s="1"/>
  <c r="BB145" i="2"/>
  <c r="BD145" i="2" s="1"/>
  <c r="AT122" i="2"/>
  <c r="AV122" i="2" s="1"/>
  <c r="AM106" i="2"/>
  <c r="BL168" i="2"/>
  <c r="BN168" i="2" s="1"/>
  <c r="U170" i="2"/>
  <c r="AD170" i="2"/>
  <c r="Q23" i="2"/>
  <c r="S23" i="2" s="1"/>
  <c r="U23" i="2" s="1"/>
  <c r="Y23" i="2"/>
  <c r="AB23" i="2" s="1"/>
  <c r="AD23" i="2" s="1"/>
  <c r="BG24" i="2"/>
  <c r="BJ24" i="2" s="1"/>
  <c r="BF24" i="2"/>
  <c r="BI24" i="2" s="1"/>
  <c r="BL24" i="2" s="1"/>
  <c r="AY24" i="2"/>
  <c r="BB24" i="2" s="1"/>
  <c r="BD24" i="2" s="1"/>
  <c r="AX24" i="2"/>
  <c r="BA24" i="2" s="1"/>
  <c r="AW24" i="2"/>
  <c r="AZ24" i="2" s="1"/>
  <c r="AP24" i="2"/>
  <c r="AS24" i="2" s="1"/>
  <c r="AU24" i="2" s="1"/>
  <c r="AO24" i="2"/>
  <c r="AR24" i="2" s="1"/>
  <c r="AN24" i="2"/>
  <c r="AQ24" i="2" s="1"/>
  <c r="AT24" i="2" s="1"/>
  <c r="AV24" i="2" s="1"/>
  <c r="AG24" i="2"/>
  <c r="AJ24" i="2" s="1"/>
  <c r="AL24" i="2" s="1"/>
  <c r="AF24" i="2"/>
  <c r="AI24" i="2" s="1"/>
  <c r="W24" i="2"/>
  <c r="Z24" i="2" s="1"/>
  <c r="AE24" i="2"/>
  <c r="AH24" i="2" s="1"/>
  <c r="AK24" i="2" s="1"/>
  <c r="AM24" i="2" s="1"/>
  <c r="X24" i="2"/>
  <c r="AA24" i="2" s="1"/>
  <c r="AC24" i="2" s="1"/>
  <c r="BH24" i="2"/>
  <c r="BK24" i="2" s="1"/>
  <c r="BM24" i="2" s="1"/>
  <c r="V24" i="2"/>
  <c r="O24" i="2"/>
  <c r="R24" i="2" s="1"/>
  <c r="T24" i="2" s="1"/>
  <c r="N24" i="2"/>
  <c r="M24" i="2"/>
  <c r="P24" i="2" s="1"/>
  <c r="L25" i="2"/>
  <c r="AT3" i="2"/>
  <c r="AV3" i="2" s="1"/>
  <c r="BC23" i="2"/>
  <c r="BE23" i="2" s="1"/>
  <c r="AK23" i="2"/>
  <c r="AM23" i="2" s="1"/>
  <c r="Q3" i="2"/>
  <c r="S3" i="2" s="1"/>
  <c r="U3" i="2" s="1"/>
  <c r="Y3" i="2"/>
  <c r="AB3" i="2" s="1"/>
  <c r="AD3" i="2" s="1"/>
  <c r="AE4" i="2"/>
  <c r="AH4" i="2" s="1"/>
  <c r="AF4" i="2"/>
  <c r="AI4" i="2" s="1"/>
  <c r="AG4" i="2"/>
  <c r="AJ4" i="2" s="1"/>
  <c r="AL4" i="2" s="1"/>
  <c r="AN4" i="2"/>
  <c r="AQ4" i="2" s="1"/>
  <c r="AO4" i="2"/>
  <c r="AR4" i="2" s="1"/>
  <c r="AP4" i="2"/>
  <c r="AS4" i="2" s="1"/>
  <c r="AU4" i="2" s="1"/>
  <c r="AW4" i="2"/>
  <c r="AZ4" i="2" s="1"/>
  <c r="AX4" i="2"/>
  <c r="BA4" i="2" s="1"/>
  <c r="AY4" i="2"/>
  <c r="BB4" i="2" s="1"/>
  <c r="BD4" i="2" s="1"/>
  <c r="BF4" i="2"/>
  <c r="BI4" i="2" s="1"/>
  <c r="BG4" i="2"/>
  <c r="BJ4" i="2" s="1"/>
  <c r="BH4" i="2"/>
  <c r="BK4" i="2" s="1"/>
  <c r="BM4" i="2" s="1"/>
  <c r="V4" i="2"/>
  <c r="W4" i="2"/>
  <c r="Z4" i="2" s="1"/>
  <c r="X4" i="2"/>
  <c r="AA4" i="2" s="1"/>
  <c r="AC4" i="2" s="1"/>
  <c r="M4" i="2"/>
  <c r="P4" i="2" s="1"/>
  <c r="O4" i="2"/>
  <c r="R4" i="2" s="1"/>
  <c r="T4" i="2" s="1"/>
  <c r="N4" i="2"/>
  <c r="L5" i="2"/>
  <c r="AD145" i="2" l="1"/>
  <c r="S145" i="2"/>
  <c r="U145" i="2" s="1"/>
  <c r="AK107" i="2"/>
  <c r="AM107" i="2" s="1"/>
  <c r="BL107" i="2"/>
  <c r="BN107" i="2" s="1"/>
  <c r="BC63" i="2"/>
  <c r="BE63" i="2" s="1"/>
  <c r="AV63" i="2"/>
  <c r="BE145" i="2"/>
  <c r="Q163" i="2"/>
  <c r="S163" i="2" s="1"/>
  <c r="U163" i="2" s="1"/>
  <c r="Y163" i="2"/>
  <c r="AB163" i="2" s="1"/>
  <c r="AD163" i="2" s="1"/>
  <c r="AW164" i="2"/>
  <c r="AZ164" i="2" s="1"/>
  <c r="AX164" i="2"/>
  <c r="BA164" i="2" s="1"/>
  <c r="AY164" i="2"/>
  <c r="BB164" i="2" s="1"/>
  <c r="BD164" i="2" s="1"/>
  <c r="AO164" i="2"/>
  <c r="AR164" i="2" s="1"/>
  <c r="M164" i="2"/>
  <c r="P164" i="2" s="1"/>
  <c r="N164" i="2"/>
  <c r="O164" i="2"/>
  <c r="R164" i="2" s="1"/>
  <c r="T164" i="2" s="1"/>
  <c r="V164" i="2"/>
  <c r="W164" i="2"/>
  <c r="Z164" i="2" s="1"/>
  <c r="X164" i="2"/>
  <c r="AA164" i="2" s="1"/>
  <c r="AC164" i="2" s="1"/>
  <c r="AE164" i="2"/>
  <c r="AH164" i="2" s="1"/>
  <c r="AF164" i="2"/>
  <c r="AI164" i="2" s="1"/>
  <c r="AG164" i="2"/>
  <c r="AJ164" i="2" s="1"/>
  <c r="AL164" i="2" s="1"/>
  <c r="AN164" i="2"/>
  <c r="AQ164" i="2" s="1"/>
  <c r="AP164" i="2"/>
  <c r="AS164" i="2" s="1"/>
  <c r="AU164" i="2" s="1"/>
  <c r="L165" i="2"/>
  <c r="L166" i="2" s="1"/>
  <c r="L167" i="2" s="1"/>
  <c r="L168" i="2" s="1"/>
  <c r="L169" i="2" s="1"/>
  <c r="L170" i="2" s="1"/>
  <c r="Q146" i="2"/>
  <c r="S146" i="2" s="1"/>
  <c r="U146" i="2" s="1"/>
  <c r="Y146" i="2"/>
  <c r="AB146" i="2" s="1"/>
  <c r="AD146" i="2" s="1"/>
  <c r="AF147" i="2"/>
  <c r="AI147" i="2" s="1"/>
  <c r="AG147" i="2"/>
  <c r="AJ147" i="2" s="1"/>
  <c r="AL147" i="2" s="1"/>
  <c r="AN147" i="2"/>
  <c r="AQ147" i="2" s="1"/>
  <c r="AO147" i="2"/>
  <c r="AR147" i="2" s="1"/>
  <c r="AP147" i="2"/>
  <c r="AS147" i="2" s="1"/>
  <c r="AU147" i="2" s="1"/>
  <c r="AW147" i="2"/>
  <c r="AZ147" i="2" s="1"/>
  <c r="AX147" i="2"/>
  <c r="BA147" i="2" s="1"/>
  <c r="AY147" i="2"/>
  <c r="BB147" i="2" s="1"/>
  <c r="BD147" i="2" s="1"/>
  <c r="BF147" i="2"/>
  <c r="BI147" i="2" s="1"/>
  <c r="M147" i="2"/>
  <c r="P147" i="2" s="1"/>
  <c r="BH147" i="2"/>
  <c r="BK147" i="2" s="1"/>
  <c r="BM147" i="2" s="1"/>
  <c r="AE147" i="2"/>
  <c r="AH147" i="2" s="1"/>
  <c r="X147" i="2"/>
  <c r="AA147" i="2" s="1"/>
  <c r="AC147" i="2" s="1"/>
  <c r="W147" i="2"/>
  <c r="Z147" i="2" s="1"/>
  <c r="V147" i="2"/>
  <c r="BG147" i="2"/>
  <c r="BJ147" i="2" s="1"/>
  <c r="O147" i="2"/>
  <c r="R147" i="2" s="1"/>
  <c r="T147" i="2" s="1"/>
  <c r="N147" i="2"/>
  <c r="L148" i="2"/>
  <c r="Q123" i="2"/>
  <c r="S123" i="2" s="1"/>
  <c r="U123" i="2" s="1"/>
  <c r="Y123" i="2"/>
  <c r="AB123" i="2" s="1"/>
  <c r="AD123" i="2" s="1"/>
  <c r="X124" i="2"/>
  <c r="AA124" i="2" s="1"/>
  <c r="AC124" i="2" s="1"/>
  <c r="W124" i="2"/>
  <c r="Z124" i="2" s="1"/>
  <c r="BH124" i="2"/>
  <c r="BK124" i="2" s="1"/>
  <c r="BM124" i="2" s="1"/>
  <c r="M124" i="2"/>
  <c r="P124" i="2" s="1"/>
  <c r="N124" i="2"/>
  <c r="O124" i="2"/>
  <c r="R124" i="2" s="1"/>
  <c r="T124" i="2" s="1"/>
  <c r="BG124" i="2"/>
  <c r="BJ124" i="2" s="1"/>
  <c r="V124" i="2"/>
  <c r="BF124" i="2"/>
  <c r="BI124" i="2" s="1"/>
  <c r="AY124" i="2"/>
  <c r="BB124" i="2" s="1"/>
  <c r="BD124" i="2" s="1"/>
  <c r="AX124" i="2"/>
  <c r="BA124" i="2" s="1"/>
  <c r="AW124" i="2"/>
  <c r="AZ124" i="2" s="1"/>
  <c r="BC124" i="2" s="1"/>
  <c r="BE124" i="2" s="1"/>
  <c r="AP124" i="2"/>
  <c r="AS124" i="2" s="1"/>
  <c r="AU124" i="2" s="1"/>
  <c r="AO124" i="2"/>
  <c r="AR124" i="2" s="1"/>
  <c r="AN124" i="2"/>
  <c r="AQ124" i="2" s="1"/>
  <c r="AT124" i="2" s="1"/>
  <c r="AV124" i="2" s="1"/>
  <c r="AG124" i="2"/>
  <c r="AJ124" i="2" s="1"/>
  <c r="AL124" i="2" s="1"/>
  <c r="AF124" i="2"/>
  <c r="AI124" i="2" s="1"/>
  <c r="AE124" i="2"/>
  <c r="AH124" i="2" s="1"/>
  <c r="AK124" i="2" s="1"/>
  <c r="AM124" i="2" s="1"/>
  <c r="L125" i="2"/>
  <c r="Q107" i="2"/>
  <c r="S107" i="2" s="1"/>
  <c r="U107" i="2" s="1"/>
  <c r="Y107" i="2"/>
  <c r="AB107" i="2" s="1"/>
  <c r="AD107" i="2" s="1"/>
  <c r="X108" i="2"/>
  <c r="AA108" i="2" s="1"/>
  <c r="AC108" i="2" s="1"/>
  <c r="W108" i="2"/>
  <c r="Z108" i="2" s="1"/>
  <c r="O108" i="2"/>
  <c r="R108" i="2" s="1"/>
  <c r="T108" i="2" s="1"/>
  <c r="N108" i="2"/>
  <c r="M108" i="2"/>
  <c r="P108" i="2" s="1"/>
  <c r="V108" i="2"/>
  <c r="AX108" i="2"/>
  <c r="BA108" i="2" s="1"/>
  <c r="AY108" i="2"/>
  <c r="BB108" i="2" s="1"/>
  <c r="BD108" i="2" s="1"/>
  <c r="BF108" i="2"/>
  <c r="BI108" i="2" s="1"/>
  <c r="BG108" i="2"/>
  <c r="BJ108" i="2" s="1"/>
  <c r="BH108" i="2"/>
  <c r="BK108" i="2" s="1"/>
  <c r="BM108" i="2" s="1"/>
  <c r="AW108" i="2"/>
  <c r="AZ108" i="2" s="1"/>
  <c r="AG108" i="2"/>
  <c r="AJ108" i="2" s="1"/>
  <c r="AL108" i="2" s="1"/>
  <c r="AF108" i="2"/>
  <c r="AI108" i="2" s="1"/>
  <c r="AE108" i="2"/>
  <c r="AH108" i="2" s="1"/>
  <c r="AK108" i="2" s="1"/>
  <c r="AM108" i="2" s="1"/>
  <c r="AN108" i="2"/>
  <c r="AQ108" i="2" s="1"/>
  <c r="AO108" i="2"/>
  <c r="AR108" i="2" s="1"/>
  <c r="AP108" i="2"/>
  <c r="AS108" i="2" s="1"/>
  <c r="AU108" i="2" s="1"/>
  <c r="L109" i="2"/>
  <c r="Q63" i="2"/>
  <c r="S63" i="2" s="1"/>
  <c r="U63" i="2" s="1"/>
  <c r="Y63" i="2"/>
  <c r="AB63" i="2" s="1"/>
  <c r="AD63" i="2" s="1"/>
  <c r="AY64" i="2"/>
  <c r="BB64" i="2" s="1"/>
  <c r="BD64" i="2" s="1"/>
  <c r="BH64" i="2"/>
  <c r="BK64" i="2" s="1"/>
  <c r="BM64" i="2" s="1"/>
  <c r="AP64" i="2"/>
  <c r="AS64" i="2" s="1"/>
  <c r="AU64" i="2" s="1"/>
  <c r="AE64" i="2"/>
  <c r="AH64" i="2" s="1"/>
  <c r="AX64" i="2"/>
  <c r="BA64" i="2" s="1"/>
  <c r="AW64" i="2"/>
  <c r="AZ64" i="2" s="1"/>
  <c r="BC64" i="2" s="1"/>
  <c r="BE64" i="2" s="1"/>
  <c r="V64" i="2"/>
  <c r="AO64" i="2"/>
  <c r="AR64" i="2" s="1"/>
  <c r="AN64" i="2"/>
  <c r="AQ64" i="2" s="1"/>
  <c r="AT64" i="2" s="1"/>
  <c r="AV64" i="2" s="1"/>
  <c r="BG64" i="2"/>
  <c r="BJ64" i="2" s="1"/>
  <c r="BF64" i="2"/>
  <c r="BI64" i="2" s="1"/>
  <c r="BL64" i="2" s="1"/>
  <c r="BN64" i="2" s="1"/>
  <c r="AG64" i="2"/>
  <c r="AJ64" i="2" s="1"/>
  <c r="AL64" i="2" s="1"/>
  <c r="AF64" i="2"/>
  <c r="AI64" i="2" s="1"/>
  <c r="X64" i="2"/>
  <c r="AA64" i="2" s="1"/>
  <c r="AC64" i="2" s="1"/>
  <c r="W64" i="2"/>
  <c r="Z64" i="2" s="1"/>
  <c r="O64" i="2"/>
  <c r="R64" i="2" s="1"/>
  <c r="T64" i="2" s="1"/>
  <c r="N64" i="2"/>
  <c r="M64" i="2"/>
  <c r="P64" i="2" s="1"/>
  <c r="L65" i="2"/>
  <c r="A82" i="2"/>
  <c r="B102" i="2"/>
  <c r="A83" i="2"/>
  <c r="B103" i="2"/>
  <c r="A84" i="2"/>
  <c r="B104" i="2"/>
  <c r="A85" i="2"/>
  <c r="B105" i="2"/>
  <c r="A86" i="2"/>
  <c r="B106" i="2"/>
  <c r="A87" i="2"/>
  <c r="B107" i="2"/>
  <c r="A88" i="2"/>
  <c r="B108" i="2"/>
  <c r="A89" i="2"/>
  <c r="B109" i="2"/>
  <c r="A90" i="2"/>
  <c r="B110" i="2"/>
  <c r="A81" i="2"/>
  <c r="B101" i="2"/>
  <c r="Q43" i="2"/>
  <c r="S43" i="2" s="1"/>
  <c r="U43" i="2" s="1"/>
  <c r="Y43" i="2"/>
  <c r="AB43" i="2" s="1"/>
  <c r="AD43" i="2" s="1"/>
  <c r="AP44" i="2"/>
  <c r="AS44" i="2" s="1"/>
  <c r="AU44" i="2" s="1"/>
  <c r="BH44" i="2"/>
  <c r="BK44" i="2" s="1"/>
  <c r="BM44" i="2" s="1"/>
  <c r="BF44" i="2"/>
  <c r="BI44" i="2" s="1"/>
  <c r="W44" i="2"/>
  <c r="Z44" i="2" s="1"/>
  <c r="V44" i="2"/>
  <c r="AY44" i="2"/>
  <c r="BB44" i="2" s="1"/>
  <c r="BD44" i="2" s="1"/>
  <c r="N44" i="2"/>
  <c r="M44" i="2"/>
  <c r="P44" i="2" s="1"/>
  <c r="AX44" i="2"/>
  <c r="BA44" i="2" s="1"/>
  <c r="AW44" i="2"/>
  <c r="AZ44" i="2" s="1"/>
  <c r="BC44" i="2" s="1"/>
  <c r="BE44" i="2" s="1"/>
  <c r="BG44" i="2"/>
  <c r="BJ44" i="2" s="1"/>
  <c r="AO44" i="2"/>
  <c r="AR44" i="2" s="1"/>
  <c r="AN44" i="2"/>
  <c r="AQ44" i="2" s="1"/>
  <c r="AT44" i="2" s="1"/>
  <c r="AG44" i="2"/>
  <c r="AJ44" i="2" s="1"/>
  <c r="AL44" i="2" s="1"/>
  <c r="AF44" i="2"/>
  <c r="AI44" i="2" s="1"/>
  <c r="AE44" i="2"/>
  <c r="AH44" i="2" s="1"/>
  <c r="AK44" i="2" s="1"/>
  <c r="AM44" i="2" s="1"/>
  <c r="X44" i="2"/>
  <c r="AA44" i="2" s="1"/>
  <c r="AC44" i="2" s="1"/>
  <c r="O44" i="2"/>
  <c r="R44" i="2" s="1"/>
  <c r="T44" i="2" s="1"/>
  <c r="L45" i="2"/>
  <c r="AK163" i="2"/>
  <c r="AM163" i="2" s="1"/>
  <c r="AK123" i="2"/>
  <c r="AM123" i="2" s="1"/>
  <c r="AK63" i="2"/>
  <c r="AM63" i="2" s="1"/>
  <c r="BN165" i="2"/>
  <c r="BC123" i="2"/>
  <c r="BE123" i="2" s="1"/>
  <c r="BL123" i="2"/>
  <c r="BN123" i="2" s="1"/>
  <c r="AT107" i="2"/>
  <c r="AV107" i="2" s="1"/>
  <c r="AK43" i="2"/>
  <c r="AM43" i="2" s="1"/>
  <c r="BC43" i="2"/>
  <c r="BE43" i="2" s="1"/>
  <c r="BL43" i="2"/>
  <c r="BN43" i="2" s="1"/>
  <c r="BN145" i="2"/>
  <c r="AK4" i="2"/>
  <c r="U165" i="2"/>
  <c r="AM165" i="2"/>
  <c r="AD165" i="2"/>
  <c r="BL63" i="2"/>
  <c r="BN63" i="2" s="1"/>
  <c r="AV165" i="2"/>
  <c r="AT146" i="2"/>
  <c r="AV146" i="2" s="1"/>
  <c r="AT123" i="2"/>
  <c r="AV123" i="2" s="1"/>
  <c r="BE165" i="2"/>
  <c r="Q24" i="2"/>
  <c r="S24" i="2" s="1"/>
  <c r="U24" i="2" s="1"/>
  <c r="Y24" i="2"/>
  <c r="AB24" i="2" s="1"/>
  <c r="AD24" i="2" s="1"/>
  <c r="AE25" i="2"/>
  <c r="AH25" i="2" s="1"/>
  <c r="BG25" i="2"/>
  <c r="BJ25" i="2" s="1"/>
  <c r="M25" i="2"/>
  <c r="P25" i="2" s="1"/>
  <c r="BF25" i="2"/>
  <c r="BI25" i="2" s="1"/>
  <c r="BL25" i="2" s="1"/>
  <c r="AY25" i="2"/>
  <c r="BB25" i="2" s="1"/>
  <c r="BD25" i="2" s="1"/>
  <c r="AW25" i="2"/>
  <c r="AZ25" i="2" s="1"/>
  <c r="AP25" i="2"/>
  <c r="AS25" i="2" s="1"/>
  <c r="AU25" i="2" s="1"/>
  <c r="AO25" i="2"/>
  <c r="AR25" i="2" s="1"/>
  <c r="BH25" i="2"/>
  <c r="BK25" i="2" s="1"/>
  <c r="BM25" i="2" s="1"/>
  <c r="AN25" i="2"/>
  <c r="AQ25" i="2" s="1"/>
  <c r="AT25" i="2" s="1"/>
  <c r="AV25" i="2" s="1"/>
  <c r="AG25" i="2"/>
  <c r="AJ25" i="2" s="1"/>
  <c r="AL25" i="2" s="1"/>
  <c r="X25" i="2"/>
  <c r="AA25" i="2" s="1"/>
  <c r="AC25" i="2" s="1"/>
  <c r="W25" i="2"/>
  <c r="Z25" i="2" s="1"/>
  <c r="V25" i="2"/>
  <c r="O25" i="2"/>
  <c r="R25" i="2" s="1"/>
  <c r="T25" i="2" s="1"/>
  <c r="N25" i="2"/>
  <c r="AX25" i="2"/>
  <c r="BA25" i="2" s="1"/>
  <c r="AF25" i="2"/>
  <c r="AI25" i="2" s="1"/>
  <c r="L26" i="2"/>
  <c r="BC24" i="2"/>
  <c r="BE24" i="2" s="1"/>
  <c r="AT4" i="2"/>
  <c r="AV4" i="2" s="1"/>
  <c r="BL4" i="2"/>
  <c r="BN4" i="2" s="1"/>
  <c r="BC4" i="2"/>
  <c r="BE4" i="2" s="1"/>
  <c r="BN24" i="2"/>
  <c r="AM4" i="2"/>
  <c r="Q4" i="2"/>
  <c r="S4" i="2" s="1"/>
  <c r="U4" i="2" s="1"/>
  <c r="Y4" i="2"/>
  <c r="AB4" i="2" s="1"/>
  <c r="AD4" i="2" s="1"/>
  <c r="AE5" i="2"/>
  <c r="AH5" i="2" s="1"/>
  <c r="AF5" i="2"/>
  <c r="AI5" i="2" s="1"/>
  <c r="AG5" i="2"/>
  <c r="AJ5" i="2" s="1"/>
  <c r="AL5" i="2" s="1"/>
  <c r="AN5" i="2"/>
  <c r="AQ5" i="2" s="1"/>
  <c r="AO5" i="2"/>
  <c r="AR5" i="2" s="1"/>
  <c r="AP5" i="2"/>
  <c r="AS5" i="2" s="1"/>
  <c r="AU5" i="2" s="1"/>
  <c r="AW5" i="2"/>
  <c r="AZ5" i="2" s="1"/>
  <c r="AX5" i="2"/>
  <c r="BA5" i="2" s="1"/>
  <c r="AY5" i="2"/>
  <c r="BB5" i="2" s="1"/>
  <c r="BD5" i="2" s="1"/>
  <c r="BF5" i="2"/>
  <c r="BI5" i="2" s="1"/>
  <c r="BG5" i="2"/>
  <c r="BJ5" i="2" s="1"/>
  <c r="BH5" i="2"/>
  <c r="BK5" i="2" s="1"/>
  <c r="BM5" i="2" s="1"/>
  <c r="V5" i="2"/>
  <c r="W5" i="2"/>
  <c r="Z5" i="2" s="1"/>
  <c r="X5" i="2"/>
  <c r="AA5" i="2" s="1"/>
  <c r="AC5" i="2" s="1"/>
  <c r="N5" i="2"/>
  <c r="M5" i="2"/>
  <c r="P5" i="2" s="1"/>
  <c r="O5" i="2"/>
  <c r="R5" i="2" s="1"/>
  <c r="T5" i="2" s="1"/>
  <c r="L6" i="2"/>
  <c r="AT164" i="2" l="1"/>
  <c r="AK64" i="2"/>
  <c r="BL44" i="2"/>
  <c r="BN44" i="2" s="1"/>
  <c r="Y164" i="2"/>
  <c r="AB164" i="2" s="1"/>
  <c r="AD164" i="2" s="1"/>
  <c r="Q164" i="2"/>
  <c r="S164" i="2" s="1"/>
  <c r="U164" i="2" s="1"/>
  <c r="Y147" i="2"/>
  <c r="AB147" i="2" s="1"/>
  <c r="AD147" i="2" s="1"/>
  <c r="Q147" i="2"/>
  <c r="S147" i="2" s="1"/>
  <c r="U147" i="2" s="1"/>
  <c r="AO148" i="2"/>
  <c r="AR148" i="2" s="1"/>
  <c r="M148" i="2"/>
  <c r="P148" i="2" s="1"/>
  <c r="N148" i="2"/>
  <c r="O148" i="2"/>
  <c r="R148" i="2" s="1"/>
  <c r="T148" i="2" s="1"/>
  <c r="V148" i="2"/>
  <c r="W148" i="2"/>
  <c r="Z148" i="2" s="1"/>
  <c r="X148" i="2"/>
  <c r="AA148" i="2" s="1"/>
  <c r="AC148" i="2" s="1"/>
  <c r="AE148" i="2"/>
  <c r="AH148" i="2" s="1"/>
  <c r="AF148" i="2"/>
  <c r="AI148" i="2" s="1"/>
  <c r="AG148" i="2"/>
  <c r="AJ148" i="2" s="1"/>
  <c r="AL148" i="2" s="1"/>
  <c r="AN148" i="2"/>
  <c r="AQ148" i="2" s="1"/>
  <c r="AT148" i="2" s="1"/>
  <c r="AP148" i="2"/>
  <c r="AS148" i="2" s="1"/>
  <c r="AU148" i="2" s="1"/>
  <c r="AW148" i="2"/>
  <c r="AZ148" i="2" s="1"/>
  <c r="AX148" i="2"/>
  <c r="BA148" i="2" s="1"/>
  <c r="AY148" i="2"/>
  <c r="BB148" i="2" s="1"/>
  <c r="BD148" i="2" s="1"/>
  <c r="BF148" i="2"/>
  <c r="BI148" i="2" s="1"/>
  <c r="BL148" i="2" s="1"/>
  <c r="BN148" i="2" s="1"/>
  <c r="BG148" i="2"/>
  <c r="BJ148" i="2" s="1"/>
  <c r="BH148" i="2"/>
  <c r="BK148" i="2" s="1"/>
  <c r="BM148" i="2" s="1"/>
  <c r="L149" i="2"/>
  <c r="Q124" i="2"/>
  <c r="S124" i="2" s="1"/>
  <c r="U124" i="2" s="1"/>
  <c r="Y124" i="2"/>
  <c r="AB124" i="2" s="1"/>
  <c r="AD124" i="2" s="1"/>
  <c r="AO125" i="2"/>
  <c r="AR125" i="2" s="1"/>
  <c r="AF125" i="2"/>
  <c r="AI125" i="2" s="1"/>
  <c r="AE125" i="2"/>
  <c r="AH125" i="2" s="1"/>
  <c r="AK125" i="2" s="1"/>
  <c r="X125" i="2"/>
  <c r="AA125" i="2" s="1"/>
  <c r="AC125" i="2" s="1"/>
  <c r="W125" i="2"/>
  <c r="Z125" i="2" s="1"/>
  <c r="V125" i="2"/>
  <c r="O125" i="2"/>
  <c r="R125" i="2" s="1"/>
  <c r="T125" i="2" s="1"/>
  <c r="N125" i="2"/>
  <c r="M125" i="2"/>
  <c r="P125" i="2" s="1"/>
  <c r="AG125" i="2"/>
  <c r="AJ125" i="2" s="1"/>
  <c r="AL125" i="2" s="1"/>
  <c r="BH125" i="2"/>
  <c r="BK125" i="2" s="1"/>
  <c r="BM125" i="2" s="1"/>
  <c r="BG125" i="2"/>
  <c r="BJ125" i="2" s="1"/>
  <c r="BF125" i="2"/>
  <c r="BI125" i="2" s="1"/>
  <c r="BL125" i="2" s="1"/>
  <c r="BN125" i="2" s="1"/>
  <c r="AY125" i="2"/>
  <c r="BB125" i="2" s="1"/>
  <c r="BD125" i="2" s="1"/>
  <c r="AX125" i="2"/>
  <c r="BA125" i="2" s="1"/>
  <c r="AW125" i="2"/>
  <c r="AZ125" i="2" s="1"/>
  <c r="BC125" i="2" s="1"/>
  <c r="BE125" i="2" s="1"/>
  <c r="AP125" i="2"/>
  <c r="AS125" i="2" s="1"/>
  <c r="AU125" i="2" s="1"/>
  <c r="AN125" i="2"/>
  <c r="AQ125" i="2" s="1"/>
  <c r="L126" i="2"/>
  <c r="Q108" i="2"/>
  <c r="S108" i="2" s="1"/>
  <c r="U108" i="2" s="1"/>
  <c r="Y108" i="2"/>
  <c r="AB108" i="2" s="1"/>
  <c r="AD108" i="2" s="1"/>
  <c r="V109" i="2"/>
  <c r="AN109" i="2"/>
  <c r="AQ109" i="2" s="1"/>
  <c r="AT109" i="2" s="1"/>
  <c r="X109" i="2"/>
  <c r="AA109" i="2" s="1"/>
  <c r="AC109" i="2" s="1"/>
  <c r="AE109" i="2"/>
  <c r="AH109" i="2" s="1"/>
  <c r="AF109" i="2"/>
  <c r="AI109" i="2" s="1"/>
  <c r="AG109" i="2"/>
  <c r="AJ109" i="2" s="1"/>
  <c r="AL109" i="2" s="1"/>
  <c r="M109" i="2"/>
  <c r="P109" i="2" s="1"/>
  <c r="N109" i="2"/>
  <c r="O109" i="2"/>
  <c r="R109" i="2" s="1"/>
  <c r="T109" i="2" s="1"/>
  <c r="BG109" i="2"/>
  <c r="BJ109" i="2" s="1"/>
  <c r="BF109" i="2"/>
  <c r="BI109" i="2" s="1"/>
  <c r="BL109" i="2" s="1"/>
  <c r="BH109" i="2"/>
  <c r="BK109" i="2" s="1"/>
  <c r="BM109" i="2" s="1"/>
  <c r="AY109" i="2"/>
  <c r="BB109" i="2" s="1"/>
  <c r="BD109" i="2" s="1"/>
  <c r="AX109" i="2"/>
  <c r="BA109" i="2" s="1"/>
  <c r="AW109" i="2"/>
  <c r="AZ109" i="2" s="1"/>
  <c r="BC109" i="2" s="1"/>
  <c r="BE109" i="2" s="1"/>
  <c r="AP109" i="2"/>
  <c r="AS109" i="2" s="1"/>
  <c r="AU109" i="2" s="1"/>
  <c r="AO109" i="2"/>
  <c r="AR109" i="2" s="1"/>
  <c r="W109" i="2"/>
  <c r="Z109" i="2" s="1"/>
  <c r="L110" i="2"/>
  <c r="Y64" i="2"/>
  <c r="AB64" i="2" s="1"/>
  <c r="AD64" i="2" s="1"/>
  <c r="Q64" i="2"/>
  <c r="S64" i="2" s="1"/>
  <c r="O65" i="2"/>
  <c r="R65" i="2" s="1"/>
  <c r="T65" i="2" s="1"/>
  <c r="N65" i="2"/>
  <c r="M65" i="2"/>
  <c r="P65" i="2" s="1"/>
  <c r="AY65" i="2"/>
  <c r="BB65" i="2" s="1"/>
  <c r="BD65" i="2" s="1"/>
  <c r="BF65" i="2"/>
  <c r="BI65" i="2" s="1"/>
  <c r="BG65" i="2"/>
  <c r="BJ65" i="2" s="1"/>
  <c r="BH65" i="2"/>
  <c r="BK65" i="2" s="1"/>
  <c r="BM65" i="2" s="1"/>
  <c r="AO65" i="2"/>
  <c r="AR65" i="2" s="1"/>
  <c r="AW65" i="2"/>
  <c r="AZ65" i="2" s="1"/>
  <c r="AP65" i="2"/>
  <c r="AS65" i="2" s="1"/>
  <c r="AU65" i="2" s="1"/>
  <c r="AN65" i="2"/>
  <c r="AQ65" i="2" s="1"/>
  <c r="AT65" i="2" s="1"/>
  <c r="AV65" i="2" s="1"/>
  <c r="AG65" i="2"/>
  <c r="AJ65" i="2" s="1"/>
  <c r="AL65" i="2" s="1"/>
  <c r="AF65" i="2"/>
  <c r="AI65" i="2" s="1"/>
  <c r="AX65" i="2"/>
  <c r="BA65" i="2" s="1"/>
  <c r="AE65" i="2"/>
  <c r="AH65" i="2" s="1"/>
  <c r="AK65" i="2" s="1"/>
  <c r="AM65" i="2" s="1"/>
  <c r="X65" i="2"/>
  <c r="AA65" i="2" s="1"/>
  <c r="AC65" i="2" s="1"/>
  <c r="W65" i="2"/>
  <c r="Z65" i="2" s="1"/>
  <c r="V65" i="2"/>
  <c r="L66" i="2"/>
  <c r="A102" i="2"/>
  <c r="B122" i="2"/>
  <c r="A103" i="2"/>
  <c r="B123" i="2"/>
  <c r="A104" i="2"/>
  <c r="B124" i="2"/>
  <c r="A105" i="2"/>
  <c r="B125" i="2"/>
  <c r="A106" i="2"/>
  <c r="B126" i="2"/>
  <c r="A107" i="2"/>
  <c r="B127" i="2"/>
  <c r="A108" i="2"/>
  <c r="B128" i="2"/>
  <c r="A109" i="2"/>
  <c r="B129" i="2"/>
  <c r="A110" i="2"/>
  <c r="B130" i="2"/>
  <c r="A101" i="2"/>
  <c r="B121" i="2"/>
  <c r="Q44" i="2"/>
  <c r="S44" i="2" s="1"/>
  <c r="U44" i="2" s="1"/>
  <c r="Y44" i="2"/>
  <c r="AB44" i="2" s="1"/>
  <c r="AD44" i="2" s="1"/>
  <c r="BF45" i="2"/>
  <c r="BI45" i="2" s="1"/>
  <c r="AF45" i="2"/>
  <c r="AI45" i="2" s="1"/>
  <c r="AE45" i="2"/>
  <c r="AH45" i="2" s="1"/>
  <c r="AK45" i="2" s="1"/>
  <c r="X45" i="2"/>
  <c r="AA45" i="2" s="1"/>
  <c r="AC45" i="2" s="1"/>
  <c r="V45" i="2"/>
  <c r="O45" i="2"/>
  <c r="R45" i="2" s="1"/>
  <c r="T45" i="2" s="1"/>
  <c r="N45" i="2"/>
  <c r="BG45" i="2"/>
  <c r="BJ45" i="2" s="1"/>
  <c r="W45" i="2"/>
  <c r="Z45" i="2" s="1"/>
  <c r="AG45" i="2"/>
  <c r="AJ45" i="2" s="1"/>
  <c r="AL45" i="2" s="1"/>
  <c r="AP45" i="2"/>
  <c r="AS45" i="2" s="1"/>
  <c r="AU45" i="2" s="1"/>
  <c r="M45" i="2"/>
  <c r="P45" i="2" s="1"/>
  <c r="AN45" i="2"/>
  <c r="AQ45" i="2" s="1"/>
  <c r="AO45" i="2"/>
  <c r="AR45" i="2" s="1"/>
  <c r="BH45" i="2"/>
  <c r="BK45" i="2" s="1"/>
  <c r="BM45" i="2" s="1"/>
  <c r="AW45" i="2"/>
  <c r="AZ45" i="2" s="1"/>
  <c r="AX45" i="2"/>
  <c r="BA45" i="2" s="1"/>
  <c r="AY45" i="2"/>
  <c r="BB45" i="2" s="1"/>
  <c r="BD45" i="2" s="1"/>
  <c r="L46" i="2"/>
  <c r="BC164" i="2"/>
  <c r="BE164" i="2" s="1"/>
  <c r="AK164" i="2"/>
  <c r="AM164" i="2" s="1"/>
  <c r="AV164" i="2"/>
  <c r="AT147" i="2"/>
  <c r="AV147" i="2" s="1"/>
  <c r="BC147" i="2"/>
  <c r="BE147" i="2" s="1"/>
  <c r="BL147" i="2"/>
  <c r="BN147" i="2" s="1"/>
  <c r="AK147" i="2"/>
  <c r="AM147" i="2" s="1"/>
  <c r="BL124" i="2"/>
  <c r="BN124" i="2" s="1"/>
  <c r="BC108" i="2"/>
  <c r="BE108" i="2" s="1"/>
  <c r="AT108" i="2"/>
  <c r="AV108" i="2" s="1"/>
  <c r="AM64" i="2"/>
  <c r="U64" i="2"/>
  <c r="AK5" i="2"/>
  <c r="AM5" i="2" s="1"/>
  <c r="AV44" i="2"/>
  <c r="BL108" i="2"/>
  <c r="BN108" i="2" s="1"/>
  <c r="Y25" i="2"/>
  <c r="AB25" i="2" s="1"/>
  <c r="AD25" i="2" s="1"/>
  <c r="Q25" i="2"/>
  <c r="S25" i="2" s="1"/>
  <c r="U25" i="2" s="1"/>
  <c r="N26" i="2"/>
  <c r="AW26" i="2"/>
  <c r="AZ26" i="2" s="1"/>
  <c r="AP26" i="2"/>
  <c r="AS26" i="2" s="1"/>
  <c r="AU26" i="2" s="1"/>
  <c r="AN26" i="2"/>
  <c r="AQ26" i="2" s="1"/>
  <c r="AG26" i="2"/>
  <c r="AJ26" i="2" s="1"/>
  <c r="AL26" i="2" s="1"/>
  <c r="AF26" i="2"/>
  <c r="AI26" i="2" s="1"/>
  <c r="AE26" i="2"/>
  <c r="AH26" i="2" s="1"/>
  <c r="AK26" i="2" s="1"/>
  <c r="AM26" i="2" s="1"/>
  <c r="W26" i="2"/>
  <c r="Z26" i="2" s="1"/>
  <c r="AO26" i="2"/>
  <c r="AR26" i="2" s="1"/>
  <c r="M26" i="2"/>
  <c r="P26" i="2" s="1"/>
  <c r="O26" i="2"/>
  <c r="R26" i="2" s="1"/>
  <c r="T26" i="2" s="1"/>
  <c r="V26" i="2"/>
  <c r="AX26" i="2"/>
  <c r="BA26" i="2" s="1"/>
  <c r="X26" i="2"/>
  <c r="AA26" i="2" s="1"/>
  <c r="AC26" i="2" s="1"/>
  <c r="BF26" i="2"/>
  <c r="BI26" i="2" s="1"/>
  <c r="BG26" i="2"/>
  <c r="BJ26" i="2" s="1"/>
  <c r="BH26" i="2"/>
  <c r="BK26" i="2" s="1"/>
  <c r="BM26" i="2" s="1"/>
  <c r="AY26" i="2"/>
  <c r="BB26" i="2" s="1"/>
  <c r="BD26" i="2" s="1"/>
  <c r="L27" i="2"/>
  <c r="AK25" i="2"/>
  <c r="AM25" i="2" s="1"/>
  <c r="BC25" i="2"/>
  <c r="BE25" i="2" s="1"/>
  <c r="AT5" i="2"/>
  <c r="AV5" i="2" s="1"/>
  <c r="BL5" i="2"/>
  <c r="BN5" i="2" s="1"/>
  <c r="BC5" i="2"/>
  <c r="BE5" i="2" s="1"/>
  <c r="BN25" i="2"/>
  <c r="Q5" i="2"/>
  <c r="Y5" i="2"/>
  <c r="AB5" i="2" s="1"/>
  <c r="AD5" i="2" s="1"/>
  <c r="AE6" i="2"/>
  <c r="AH6" i="2" s="1"/>
  <c r="AF6" i="2"/>
  <c r="AI6" i="2" s="1"/>
  <c r="AG6" i="2"/>
  <c r="AJ6" i="2" s="1"/>
  <c r="AL6" i="2" s="1"/>
  <c r="AN6" i="2"/>
  <c r="AQ6" i="2" s="1"/>
  <c r="AO6" i="2"/>
  <c r="AR6" i="2" s="1"/>
  <c r="AP6" i="2"/>
  <c r="AS6" i="2" s="1"/>
  <c r="AU6" i="2" s="1"/>
  <c r="AW6" i="2"/>
  <c r="AZ6" i="2" s="1"/>
  <c r="AX6" i="2"/>
  <c r="BA6" i="2" s="1"/>
  <c r="AY6" i="2"/>
  <c r="BB6" i="2" s="1"/>
  <c r="BD6" i="2" s="1"/>
  <c r="BF6" i="2"/>
  <c r="BI6" i="2" s="1"/>
  <c r="BG6" i="2"/>
  <c r="BJ6" i="2" s="1"/>
  <c r="BH6" i="2"/>
  <c r="BK6" i="2" s="1"/>
  <c r="BM6" i="2" s="1"/>
  <c r="V6" i="2"/>
  <c r="W6" i="2"/>
  <c r="Z6" i="2" s="1"/>
  <c r="X6" i="2"/>
  <c r="AA6" i="2" s="1"/>
  <c r="AC6" i="2" s="1"/>
  <c r="O6" i="2"/>
  <c r="R6" i="2" s="1"/>
  <c r="T6" i="2" s="1"/>
  <c r="N6" i="2"/>
  <c r="M6" i="2"/>
  <c r="P6" i="2" s="1"/>
  <c r="L7" i="2"/>
  <c r="S5" i="2"/>
  <c r="U5" i="2" s="1"/>
  <c r="AM45" i="2" l="1"/>
  <c r="Y148" i="2"/>
  <c r="AB148" i="2" s="1"/>
  <c r="AD148" i="2" s="1"/>
  <c r="Q148" i="2"/>
  <c r="S148" i="2" s="1"/>
  <c r="U148" i="2" s="1"/>
  <c r="AP149" i="2"/>
  <c r="AS149" i="2" s="1"/>
  <c r="AU149" i="2" s="1"/>
  <c r="AO149" i="2"/>
  <c r="AR149" i="2" s="1"/>
  <c r="AN149" i="2"/>
  <c r="AQ149" i="2" s="1"/>
  <c r="AT149" i="2" s="1"/>
  <c r="AV149" i="2" s="1"/>
  <c r="AG149" i="2"/>
  <c r="AJ149" i="2" s="1"/>
  <c r="AL149" i="2" s="1"/>
  <c r="AF149" i="2"/>
  <c r="AI149" i="2" s="1"/>
  <c r="AE149" i="2"/>
  <c r="AH149" i="2" s="1"/>
  <c r="AK149" i="2" s="1"/>
  <c r="AM149" i="2" s="1"/>
  <c r="X149" i="2"/>
  <c r="AA149" i="2" s="1"/>
  <c r="AC149" i="2" s="1"/>
  <c r="BG149" i="2"/>
  <c r="BJ149" i="2" s="1"/>
  <c r="BH149" i="2"/>
  <c r="BK149" i="2" s="1"/>
  <c r="BM149" i="2" s="1"/>
  <c r="BF149" i="2"/>
  <c r="BI149" i="2" s="1"/>
  <c r="BL149" i="2" s="1"/>
  <c r="BN149" i="2" s="1"/>
  <c r="AY149" i="2"/>
  <c r="BB149" i="2" s="1"/>
  <c r="BD149" i="2" s="1"/>
  <c r="AX149" i="2"/>
  <c r="BA149" i="2" s="1"/>
  <c r="M149" i="2"/>
  <c r="P149" i="2" s="1"/>
  <c r="N149" i="2"/>
  <c r="O149" i="2"/>
  <c r="R149" i="2" s="1"/>
  <c r="T149" i="2" s="1"/>
  <c r="V149" i="2"/>
  <c r="W149" i="2"/>
  <c r="Z149" i="2" s="1"/>
  <c r="AW149" i="2"/>
  <c r="AZ149" i="2" s="1"/>
  <c r="L150" i="2"/>
  <c r="Y125" i="2"/>
  <c r="AB125" i="2" s="1"/>
  <c r="AD125" i="2" s="1"/>
  <c r="Q125" i="2"/>
  <c r="S125" i="2" s="1"/>
  <c r="U125" i="2" s="1"/>
  <c r="AN126" i="2"/>
  <c r="AQ126" i="2" s="1"/>
  <c r="AO126" i="2"/>
  <c r="AR126" i="2" s="1"/>
  <c r="AP126" i="2"/>
  <c r="AS126" i="2" s="1"/>
  <c r="AU126" i="2" s="1"/>
  <c r="AX126" i="2"/>
  <c r="BA126" i="2" s="1"/>
  <c r="AY126" i="2"/>
  <c r="BB126" i="2" s="1"/>
  <c r="BD126" i="2" s="1"/>
  <c r="BF126" i="2"/>
  <c r="BI126" i="2" s="1"/>
  <c r="AW126" i="2"/>
  <c r="AZ126" i="2" s="1"/>
  <c r="BC126" i="2" s="1"/>
  <c r="BE126" i="2" s="1"/>
  <c r="N126" i="2"/>
  <c r="BH126" i="2"/>
  <c r="BK126" i="2" s="1"/>
  <c r="BM126" i="2" s="1"/>
  <c r="M126" i="2"/>
  <c r="P126" i="2" s="1"/>
  <c r="O126" i="2"/>
  <c r="R126" i="2" s="1"/>
  <c r="T126" i="2" s="1"/>
  <c r="BG126" i="2"/>
  <c r="BJ126" i="2" s="1"/>
  <c r="V126" i="2"/>
  <c r="W126" i="2"/>
  <c r="Z126" i="2" s="1"/>
  <c r="X126" i="2"/>
  <c r="AA126" i="2" s="1"/>
  <c r="AC126" i="2" s="1"/>
  <c r="AE126" i="2"/>
  <c r="AH126" i="2" s="1"/>
  <c r="AF126" i="2"/>
  <c r="AI126" i="2" s="1"/>
  <c r="AG126" i="2"/>
  <c r="AJ126" i="2" s="1"/>
  <c r="AL126" i="2" s="1"/>
  <c r="L127" i="2"/>
  <c r="Q109" i="2"/>
  <c r="S109" i="2" s="1"/>
  <c r="U109" i="2" s="1"/>
  <c r="Y109" i="2"/>
  <c r="AB109" i="2" s="1"/>
  <c r="AD109" i="2" s="1"/>
  <c r="BH110" i="2"/>
  <c r="BK110" i="2" s="1"/>
  <c r="BM110" i="2" s="1"/>
  <c r="M110" i="2"/>
  <c r="P110" i="2" s="1"/>
  <c r="N110" i="2"/>
  <c r="O110" i="2"/>
  <c r="R110" i="2" s="1"/>
  <c r="T110" i="2" s="1"/>
  <c r="V110" i="2"/>
  <c r="W110" i="2"/>
  <c r="Z110" i="2" s="1"/>
  <c r="X110" i="2"/>
  <c r="AA110" i="2" s="1"/>
  <c r="AC110" i="2" s="1"/>
  <c r="AE110" i="2"/>
  <c r="AH110" i="2" s="1"/>
  <c r="AF110" i="2"/>
  <c r="AI110" i="2" s="1"/>
  <c r="AG110" i="2"/>
  <c r="AJ110" i="2" s="1"/>
  <c r="AL110" i="2" s="1"/>
  <c r="AN110" i="2"/>
  <c r="AQ110" i="2" s="1"/>
  <c r="AO110" i="2"/>
  <c r="AR110" i="2" s="1"/>
  <c r="AP110" i="2"/>
  <c r="AS110" i="2" s="1"/>
  <c r="AU110" i="2" s="1"/>
  <c r="AW110" i="2"/>
  <c r="AZ110" i="2" s="1"/>
  <c r="AX110" i="2"/>
  <c r="BA110" i="2" s="1"/>
  <c r="AY110" i="2"/>
  <c r="BB110" i="2" s="1"/>
  <c r="BD110" i="2" s="1"/>
  <c r="BF110" i="2"/>
  <c r="BI110" i="2" s="1"/>
  <c r="BG110" i="2"/>
  <c r="BJ110" i="2" s="1"/>
  <c r="Y65" i="2"/>
  <c r="AB65" i="2" s="1"/>
  <c r="AD65" i="2" s="1"/>
  <c r="Q65" i="2"/>
  <c r="S65" i="2" s="1"/>
  <c r="U65" i="2" s="1"/>
  <c r="BH66" i="2"/>
  <c r="BK66" i="2" s="1"/>
  <c r="BM66" i="2" s="1"/>
  <c r="BG66" i="2"/>
  <c r="BJ66" i="2" s="1"/>
  <c r="AO66" i="2"/>
  <c r="AR66" i="2" s="1"/>
  <c r="M66" i="2"/>
  <c r="P66" i="2" s="1"/>
  <c r="N66" i="2"/>
  <c r="O66" i="2"/>
  <c r="R66" i="2" s="1"/>
  <c r="T66" i="2" s="1"/>
  <c r="V66" i="2"/>
  <c r="W66" i="2"/>
  <c r="Z66" i="2" s="1"/>
  <c r="X66" i="2"/>
  <c r="AA66" i="2" s="1"/>
  <c r="AC66" i="2" s="1"/>
  <c r="AE66" i="2"/>
  <c r="AH66" i="2" s="1"/>
  <c r="AK66" i="2" s="1"/>
  <c r="AF66" i="2"/>
  <c r="AI66" i="2" s="1"/>
  <c r="AG66" i="2"/>
  <c r="AJ66" i="2" s="1"/>
  <c r="AL66" i="2" s="1"/>
  <c r="AN66" i="2"/>
  <c r="AQ66" i="2" s="1"/>
  <c r="AT66" i="2" s="1"/>
  <c r="AP66" i="2"/>
  <c r="AS66" i="2" s="1"/>
  <c r="AU66" i="2" s="1"/>
  <c r="AW66" i="2"/>
  <c r="AZ66" i="2" s="1"/>
  <c r="AX66" i="2"/>
  <c r="BA66" i="2" s="1"/>
  <c r="AY66" i="2"/>
  <c r="BB66" i="2" s="1"/>
  <c r="BD66" i="2" s="1"/>
  <c r="BF66" i="2"/>
  <c r="BI66" i="2" s="1"/>
  <c r="L67" i="2"/>
  <c r="A122" i="2"/>
  <c r="B142" i="2"/>
  <c r="A123" i="2"/>
  <c r="B143" i="2"/>
  <c r="A124" i="2"/>
  <c r="B144" i="2"/>
  <c r="A125" i="2"/>
  <c r="B145" i="2"/>
  <c r="A126" i="2"/>
  <c r="B146" i="2"/>
  <c r="A127" i="2"/>
  <c r="B147" i="2"/>
  <c r="A128" i="2"/>
  <c r="B148" i="2"/>
  <c r="A129" i="2"/>
  <c r="B149" i="2"/>
  <c r="A130" i="2"/>
  <c r="B150" i="2"/>
  <c r="A121" i="2"/>
  <c r="B141" i="2"/>
  <c r="Y45" i="2"/>
  <c r="AB45" i="2" s="1"/>
  <c r="AD45" i="2" s="1"/>
  <c r="Q45" i="2"/>
  <c r="S45" i="2" s="1"/>
  <c r="U45" i="2" s="1"/>
  <c r="M46" i="2"/>
  <c r="P46" i="2" s="1"/>
  <c r="N46" i="2"/>
  <c r="O46" i="2"/>
  <c r="R46" i="2" s="1"/>
  <c r="T46" i="2" s="1"/>
  <c r="V46" i="2"/>
  <c r="W46" i="2"/>
  <c r="Z46" i="2" s="1"/>
  <c r="AG46" i="2"/>
  <c r="AJ46" i="2" s="1"/>
  <c r="AL46" i="2" s="1"/>
  <c r="AE46" i="2"/>
  <c r="AH46" i="2" s="1"/>
  <c r="AF46" i="2"/>
  <c r="AI46" i="2" s="1"/>
  <c r="X46" i="2"/>
  <c r="AA46" i="2" s="1"/>
  <c r="AC46" i="2" s="1"/>
  <c r="AN46" i="2"/>
  <c r="AQ46" i="2" s="1"/>
  <c r="AT46" i="2" s="1"/>
  <c r="AV46" i="2" s="1"/>
  <c r="AO46" i="2"/>
  <c r="AR46" i="2" s="1"/>
  <c r="AP46" i="2"/>
  <c r="AS46" i="2" s="1"/>
  <c r="AU46" i="2" s="1"/>
  <c r="AW46" i="2"/>
  <c r="AZ46" i="2" s="1"/>
  <c r="AX46" i="2"/>
  <c r="BA46" i="2" s="1"/>
  <c r="AY46" i="2"/>
  <c r="BB46" i="2" s="1"/>
  <c r="BD46" i="2" s="1"/>
  <c r="BF46" i="2"/>
  <c r="BI46" i="2" s="1"/>
  <c r="BG46" i="2"/>
  <c r="BJ46" i="2" s="1"/>
  <c r="BH46" i="2"/>
  <c r="BK46" i="2" s="1"/>
  <c r="BM46" i="2" s="1"/>
  <c r="L47" i="2"/>
  <c r="AK148" i="2"/>
  <c r="AM148" i="2" s="1"/>
  <c r="AV148" i="2"/>
  <c r="BC148" i="2"/>
  <c r="BE148" i="2" s="1"/>
  <c r="AM125" i="2"/>
  <c r="AT125" i="2"/>
  <c r="AV125" i="2" s="1"/>
  <c r="AV109" i="2"/>
  <c r="AK109" i="2"/>
  <c r="AM109" i="2" s="1"/>
  <c r="BN109" i="2"/>
  <c r="BL65" i="2"/>
  <c r="BN65" i="2" s="1"/>
  <c r="BC65" i="2"/>
  <c r="BE65" i="2" s="1"/>
  <c r="BL45" i="2"/>
  <c r="BN45" i="2" s="1"/>
  <c r="AT45" i="2"/>
  <c r="AV45" i="2" s="1"/>
  <c r="BC45" i="2"/>
  <c r="BE45" i="2" s="1"/>
  <c r="AT26" i="2"/>
  <c r="AV26" i="2" s="1"/>
  <c r="Y26" i="2"/>
  <c r="AB26" i="2" s="1"/>
  <c r="AD26" i="2" s="1"/>
  <c r="Q26" i="2"/>
  <c r="S26" i="2" s="1"/>
  <c r="U26" i="2" s="1"/>
  <c r="BF27" i="2"/>
  <c r="BI27" i="2" s="1"/>
  <c r="N27" i="2"/>
  <c r="W27" i="2"/>
  <c r="Z27" i="2" s="1"/>
  <c r="AW27" i="2"/>
  <c r="AZ27" i="2" s="1"/>
  <c r="AP27" i="2"/>
  <c r="AS27" i="2" s="1"/>
  <c r="AU27" i="2" s="1"/>
  <c r="AN27" i="2"/>
  <c r="AQ27" i="2" s="1"/>
  <c r="AG27" i="2"/>
  <c r="AJ27" i="2" s="1"/>
  <c r="AL27" i="2" s="1"/>
  <c r="BG27" i="2"/>
  <c r="BJ27" i="2" s="1"/>
  <c r="BH27" i="2"/>
  <c r="BK27" i="2" s="1"/>
  <c r="BM27" i="2" s="1"/>
  <c r="AO27" i="2"/>
  <c r="AR27" i="2" s="1"/>
  <c r="AF27" i="2"/>
  <c r="AI27" i="2" s="1"/>
  <c r="AE27" i="2"/>
  <c r="AH27" i="2" s="1"/>
  <c r="AK27" i="2" s="1"/>
  <c r="AM27" i="2" s="1"/>
  <c r="X27" i="2"/>
  <c r="AA27" i="2" s="1"/>
  <c r="AC27" i="2" s="1"/>
  <c r="V27" i="2"/>
  <c r="O27" i="2"/>
  <c r="R27" i="2" s="1"/>
  <c r="T27" i="2" s="1"/>
  <c r="M27" i="2"/>
  <c r="P27" i="2" s="1"/>
  <c r="AX27" i="2"/>
  <c r="BA27" i="2" s="1"/>
  <c r="AY27" i="2"/>
  <c r="BB27" i="2" s="1"/>
  <c r="BD27" i="2" s="1"/>
  <c r="L28" i="2"/>
  <c r="BC26" i="2"/>
  <c r="BE26" i="2" s="1"/>
  <c r="BC6" i="2"/>
  <c r="BE6" i="2" s="1"/>
  <c r="BL26" i="2"/>
  <c r="BN26" i="2" s="1"/>
  <c r="AK6" i="2"/>
  <c r="AM6" i="2" s="1"/>
  <c r="AT6" i="2"/>
  <c r="AV6" i="2" s="1"/>
  <c r="BL6" i="2"/>
  <c r="BN6" i="2" s="1"/>
  <c r="Q6" i="2"/>
  <c r="S6" i="2" s="1"/>
  <c r="U6" i="2" s="1"/>
  <c r="Y6" i="2"/>
  <c r="AB6" i="2" s="1"/>
  <c r="AD6" i="2" s="1"/>
  <c r="AE7" i="2"/>
  <c r="AH7" i="2" s="1"/>
  <c r="AF7" i="2"/>
  <c r="AI7" i="2" s="1"/>
  <c r="AG7" i="2"/>
  <c r="AJ7" i="2" s="1"/>
  <c r="AL7" i="2" s="1"/>
  <c r="AN7" i="2"/>
  <c r="AQ7" i="2" s="1"/>
  <c r="AO7" i="2"/>
  <c r="AR7" i="2" s="1"/>
  <c r="AP7" i="2"/>
  <c r="AS7" i="2" s="1"/>
  <c r="AU7" i="2" s="1"/>
  <c r="AW7" i="2"/>
  <c r="AZ7" i="2" s="1"/>
  <c r="AX7" i="2"/>
  <c r="BA7" i="2" s="1"/>
  <c r="AY7" i="2"/>
  <c r="BB7" i="2" s="1"/>
  <c r="BD7" i="2" s="1"/>
  <c r="BF7" i="2"/>
  <c r="BI7" i="2" s="1"/>
  <c r="BG7" i="2"/>
  <c r="BJ7" i="2" s="1"/>
  <c r="BH7" i="2"/>
  <c r="BK7" i="2" s="1"/>
  <c r="BM7" i="2" s="1"/>
  <c r="V7" i="2"/>
  <c r="W7" i="2"/>
  <c r="Z7" i="2" s="1"/>
  <c r="X7" i="2"/>
  <c r="AA7" i="2" s="1"/>
  <c r="AC7" i="2" s="1"/>
  <c r="O7" i="2"/>
  <c r="R7" i="2" s="1"/>
  <c r="T7" i="2" s="1"/>
  <c r="N7" i="2"/>
  <c r="M7" i="2"/>
  <c r="P7" i="2" s="1"/>
  <c r="L8" i="2"/>
  <c r="BC149" i="2" l="1"/>
  <c r="BE149" i="2" s="1"/>
  <c r="Q149" i="2"/>
  <c r="S149" i="2" s="1"/>
  <c r="U149" i="2" s="1"/>
  <c r="Y149" i="2"/>
  <c r="AB149" i="2" s="1"/>
  <c r="AD149" i="2" s="1"/>
  <c r="AE150" i="2"/>
  <c r="AH150" i="2" s="1"/>
  <c r="AK150" i="2" s="1"/>
  <c r="AO150" i="2"/>
  <c r="AR150" i="2" s="1"/>
  <c r="X150" i="2"/>
  <c r="AA150" i="2" s="1"/>
  <c r="AC150" i="2" s="1"/>
  <c r="W150" i="2"/>
  <c r="Z150" i="2" s="1"/>
  <c r="V150" i="2"/>
  <c r="O150" i="2"/>
  <c r="R150" i="2" s="1"/>
  <c r="T150" i="2" s="1"/>
  <c r="BH150" i="2"/>
  <c r="BK150" i="2" s="1"/>
  <c r="BM150" i="2" s="1"/>
  <c r="BF150" i="2"/>
  <c r="BI150" i="2" s="1"/>
  <c r="BL150" i="2" s="1"/>
  <c r="BN150" i="2" s="1"/>
  <c r="AY150" i="2"/>
  <c r="BB150" i="2" s="1"/>
  <c r="BD150" i="2" s="1"/>
  <c r="AX150" i="2"/>
  <c r="BA150" i="2" s="1"/>
  <c r="N150" i="2"/>
  <c r="AW150" i="2"/>
  <c r="AZ150" i="2" s="1"/>
  <c r="BC150" i="2" s="1"/>
  <c r="BE150" i="2" s="1"/>
  <c r="AP150" i="2"/>
  <c r="AS150" i="2" s="1"/>
  <c r="AU150" i="2" s="1"/>
  <c r="M150" i="2"/>
  <c r="P150" i="2" s="1"/>
  <c r="AN150" i="2"/>
  <c r="AQ150" i="2" s="1"/>
  <c r="AT150" i="2" s="1"/>
  <c r="AV150" i="2" s="1"/>
  <c r="AG150" i="2"/>
  <c r="AJ150" i="2" s="1"/>
  <c r="AL150" i="2" s="1"/>
  <c r="AF150" i="2"/>
  <c r="AI150" i="2" s="1"/>
  <c r="BG150" i="2"/>
  <c r="BJ150" i="2" s="1"/>
  <c r="Y126" i="2"/>
  <c r="AB126" i="2" s="1"/>
  <c r="AD126" i="2" s="1"/>
  <c r="Q126" i="2"/>
  <c r="S126" i="2" s="1"/>
  <c r="U126" i="2" s="1"/>
  <c r="AF127" i="2"/>
  <c r="AI127" i="2" s="1"/>
  <c r="AE127" i="2"/>
  <c r="AH127" i="2" s="1"/>
  <c r="AK127" i="2" s="1"/>
  <c r="AM127" i="2" s="1"/>
  <c r="X127" i="2"/>
  <c r="AA127" i="2" s="1"/>
  <c r="AC127" i="2" s="1"/>
  <c r="W127" i="2"/>
  <c r="Z127" i="2" s="1"/>
  <c r="O127" i="2"/>
  <c r="R127" i="2" s="1"/>
  <c r="T127" i="2" s="1"/>
  <c r="AN127" i="2"/>
  <c r="AQ127" i="2" s="1"/>
  <c r="AO127" i="2"/>
  <c r="AR127" i="2" s="1"/>
  <c r="AP127" i="2"/>
  <c r="AS127" i="2" s="1"/>
  <c r="AU127" i="2" s="1"/>
  <c r="M127" i="2"/>
  <c r="P127" i="2" s="1"/>
  <c r="AX127" i="2"/>
  <c r="BA127" i="2" s="1"/>
  <c r="AY127" i="2"/>
  <c r="BB127" i="2" s="1"/>
  <c r="BD127" i="2" s="1"/>
  <c r="BF127" i="2"/>
  <c r="BI127" i="2" s="1"/>
  <c r="BG127" i="2"/>
  <c r="BJ127" i="2" s="1"/>
  <c r="N127" i="2"/>
  <c r="BH127" i="2"/>
  <c r="BK127" i="2" s="1"/>
  <c r="BM127" i="2" s="1"/>
  <c r="V127" i="2"/>
  <c r="AG127" i="2"/>
  <c r="AJ127" i="2" s="1"/>
  <c r="AL127" i="2" s="1"/>
  <c r="AW127" i="2"/>
  <c r="AZ127" i="2" s="1"/>
  <c r="L128" i="2"/>
  <c r="Q110" i="2"/>
  <c r="S110" i="2" s="1"/>
  <c r="U110" i="2" s="1"/>
  <c r="Y110" i="2"/>
  <c r="AB110" i="2" s="1"/>
  <c r="AD110" i="2" s="1"/>
  <c r="Y66" i="2"/>
  <c r="AB66" i="2" s="1"/>
  <c r="AD66" i="2" s="1"/>
  <c r="Q66" i="2"/>
  <c r="S66" i="2" s="1"/>
  <c r="U66" i="2" s="1"/>
  <c r="BH67" i="2"/>
  <c r="BK67" i="2" s="1"/>
  <c r="BM67" i="2" s="1"/>
  <c r="N67" i="2"/>
  <c r="O67" i="2"/>
  <c r="R67" i="2" s="1"/>
  <c r="T67" i="2" s="1"/>
  <c r="V67" i="2"/>
  <c r="W67" i="2"/>
  <c r="Z67" i="2" s="1"/>
  <c r="X67" i="2"/>
  <c r="AA67" i="2" s="1"/>
  <c r="AC67" i="2" s="1"/>
  <c r="AO67" i="2"/>
  <c r="AR67" i="2" s="1"/>
  <c r="M67" i="2"/>
  <c r="P67" i="2" s="1"/>
  <c r="AF67" i="2"/>
  <c r="AI67" i="2" s="1"/>
  <c r="AG67" i="2"/>
  <c r="AJ67" i="2" s="1"/>
  <c r="AL67" i="2" s="1"/>
  <c r="AN67" i="2"/>
  <c r="AQ67" i="2" s="1"/>
  <c r="AT67" i="2" s="1"/>
  <c r="AP67" i="2"/>
  <c r="AS67" i="2" s="1"/>
  <c r="AU67" i="2" s="1"/>
  <c r="AW67" i="2"/>
  <c r="AZ67" i="2" s="1"/>
  <c r="AX67" i="2"/>
  <c r="BA67" i="2" s="1"/>
  <c r="AY67" i="2"/>
  <c r="BB67" i="2" s="1"/>
  <c r="BD67" i="2" s="1"/>
  <c r="BF67" i="2"/>
  <c r="BI67" i="2" s="1"/>
  <c r="BG67" i="2"/>
  <c r="BJ67" i="2" s="1"/>
  <c r="AE67" i="2"/>
  <c r="AH67" i="2" s="1"/>
  <c r="L68" i="2"/>
  <c r="A142" i="2"/>
  <c r="B162" i="2"/>
  <c r="A162" i="2" s="1"/>
  <c r="A143" i="2"/>
  <c r="B163" i="2"/>
  <c r="A163" i="2" s="1"/>
  <c r="A144" i="2"/>
  <c r="B164" i="2"/>
  <c r="A164" i="2" s="1"/>
  <c r="A145" i="2"/>
  <c r="B165" i="2"/>
  <c r="A165" i="2" s="1"/>
  <c r="A146" i="2"/>
  <c r="B166" i="2"/>
  <c r="A166" i="2" s="1"/>
  <c r="A147" i="2"/>
  <c r="B167" i="2"/>
  <c r="A167" i="2" s="1"/>
  <c r="A148" i="2"/>
  <c r="B168" i="2"/>
  <c r="A168" i="2" s="1"/>
  <c r="A149" i="2"/>
  <c r="B169" i="2"/>
  <c r="A169" i="2" s="1"/>
  <c r="A150" i="2"/>
  <c r="B170" i="2"/>
  <c r="A141" i="2"/>
  <c r="B161" i="2"/>
  <c r="A161" i="2" s="1"/>
  <c r="Q46" i="2"/>
  <c r="S46" i="2" s="1"/>
  <c r="U46" i="2" s="1"/>
  <c r="Y46" i="2"/>
  <c r="AB46" i="2" s="1"/>
  <c r="AD46" i="2" s="1"/>
  <c r="BH47" i="2"/>
  <c r="BK47" i="2" s="1"/>
  <c r="BM47" i="2" s="1"/>
  <c r="AN47" i="2"/>
  <c r="AQ47" i="2" s="1"/>
  <c r="AO47" i="2"/>
  <c r="AR47" i="2" s="1"/>
  <c r="AW47" i="2"/>
  <c r="AZ47" i="2" s="1"/>
  <c r="AX47" i="2"/>
  <c r="BA47" i="2" s="1"/>
  <c r="AY47" i="2"/>
  <c r="BB47" i="2" s="1"/>
  <c r="BD47" i="2" s="1"/>
  <c r="BF47" i="2"/>
  <c r="BI47" i="2" s="1"/>
  <c r="BG47" i="2"/>
  <c r="BJ47" i="2" s="1"/>
  <c r="AP47" i="2"/>
  <c r="AS47" i="2" s="1"/>
  <c r="AU47" i="2" s="1"/>
  <c r="M47" i="2"/>
  <c r="P47" i="2" s="1"/>
  <c r="N47" i="2"/>
  <c r="O47" i="2"/>
  <c r="R47" i="2" s="1"/>
  <c r="T47" i="2" s="1"/>
  <c r="V47" i="2"/>
  <c r="W47" i="2"/>
  <c r="Z47" i="2" s="1"/>
  <c r="X47" i="2"/>
  <c r="AA47" i="2" s="1"/>
  <c r="AC47" i="2" s="1"/>
  <c r="AE47" i="2"/>
  <c r="AH47" i="2" s="1"/>
  <c r="AF47" i="2"/>
  <c r="AI47" i="2" s="1"/>
  <c r="AG47" i="2"/>
  <c r="AJ47" i="2" s="1"/>
  <c r="AL47" i="2" s="1"/>
  <c r="L48" i="2"/>
  <c r="BL110" i="2"/>
  <c r="BN110" i="2" s="1"/>
  <c r="AT126" i="2"/>
  <c r="AV126" i="2" s="1"/>
  <c r="BL126" i="2"/>
  <c r="BN126" i="2" s="1"/>
  <c r="AK110" i="2"/>
  <c r="AM110" i="2" s="1"/>
  <c r="AT110" i="2"/>
  <c r="AV110" i="2" s="1"/>
  <c r="BC110" i="2"/>
  <c r="BE110" i="2" s="1"/>
  <c r="BL66" i="2"/>
  <c r="BN66" i="2" s="1"/>
  <c r="AK46" i="2"/>
  <c r="AM46" i="2" s="1"/>
  <c r="AV66" i="2"/>
  <c r="BC46" i="2"/>
  <c r="BE46" i="2" s="1"/>
  <c r="BL46" i="2"/>
  <c r="BN46" i="2" s="1"/>
  <c r="AK126" i="2"/>
  <c r="AM126" i="2" s="1"/>
  <c r="AM66" i="2"/>
  <c r="BC7" i="2"/>
  <c r="BE7" i="2" s="1"/>
  <c r="BC66" i="2"/>
  <c r="BE66" i="2" s="1"/>
  <c r="Y27" i="2"/>
  <c r="AB27" i="2" s="1"/>
  <c r="AD27" i="2" s="1"/>
  <c r="Q27" i="2"/>
  <c r="S27" i="2" s="1"/>
  <c r="U27" i="2" s="1"/>
  <c r="AE28" i="2"/>
  <c r="AH28" i="2" s="1"/>
  <c r="AF28" i="2"/>
  <c r="AI28" i="2" s="1"/>
  <c r="AG28" i="2"/>
  <c r="AJ28" i="2" s="1"/>
  <c r="AL28" i="2" s="1"/>
  <c r="AN28" i="2"/>
  <c r="AQ28" i="2" s="1"/>
  <c r="AO28" i="2"/>
  <c r="AR28" i="2" s="1"/>
  <c r="AP28" i="2"/>
  <c r="AS28" i="2" s="1"/>
  <c r="AU28" i="2" s="1"/>
  <c r="AW28" i="2"/>
  <c r="AZ28" i="2" s="1"/>
  <c r="AX28" i="2"/>
  <c r="BA28" i="2" s="1"/>
  <c r="BF28" i="2"/>
  <c r="BI28" i="2" s="1"/>
  <c r="BG28" i="2"/>
  <c r="BJ28" i="2" s="1"/>
  <c r="BH28" i="2"/>
  <c r="BK28" i="2" s="1"/>
  <c r="BM28" i="2" s="1"/>
  <c r="AY28" i="2"/>
  <c r="BB28" i="2" s="1"/>
  <c r="BD28" i="2" s="1"/>
  <c r="M28" i="2"/>
  <c r="P28" i="2" s="1"/>
  <c r="N28" i="2"/>
  <c r="O28" i="2"/>
  <c r="R28" i="2" s="1"/>
  <c r="T28" i="2" s="1"/>
  <c r="V28" i="2"/>
  <c r="W28" i="2"/>
  <c r="Z28" i="2" s="1"/>
  <c r="X28" i="2"/>
  <c r="AA28" i="2" s="1"/>
  <c r="AC28" i="2" s="1"/>
  <c r="L29" i="2"/>
  <c r="BL27" i="2"/>
  <c r="BN27" i="2" s="1"/>
  <c r="BC27" i="2"/>
  <c r="BE27" i="2" s="1"/>
  <c r="AK7" i="2"/>
  <c r="AM7" i="2" s="1"/>
  <c r="AT27" i="2"/>
  <c r="AV27" i="2" s="1"/>
  <c r="AT7" i="2"/>
  <c r="AV7" i="2" s="1"/>
  <c r="BL7" i="2"/>
  <c r="BN7" i="2" s="1"/>
  <c r="Q7" i="2"/>
  <c r="S7" i="2" s="1"/>
  <c r="U7" i="2" s="1"/>
  <c r="Y7" i="2"/>
  <c r="AB7" i="2" s="1"/>
  <c r="AD7" i="2" s="1"/>
  <c r="AE8" i="2"/>
  <c r="AH8" i="2" s="1"/>
  <c r="AF8" i="2"/>
  <c r="AI8" i="2" s="1"/>
  <c r="AG8" i="2"/>
  <c r="AJ8" i="2" s="1"/>
  <c r="AL8" i="2" s="1"/>
  <c r="AN8" i="2"/>
  <c r="AQ8" i="2" s="1"/>
  <c r="AO8" i="2"/>
  <c r="AR8" i="2" s="1"/>
  <c r="AP8" i="2"/>
  <c r="AS8" i="2" s="1"/>
  <c r="AU8" i="2" s="1"/>
  <c r="AW8" i="2"/>
  <c r="AZ8" i="2" s="1"/>
  <c r="AX8" i="2"/>
  <c r="BA8" i="2" s="1"/>
  <c r="AY8" i="2"/>
  <c r="BB8" i="2" s="1"/>
  <c r="BD8" i="2" s="1"/>
  <c r="BF8" i="2"/>
  <c r="BI8" i="2" s="1"/>
  <c r="BG8" i="2"/>
  <c r="BJ8" i="2" s="1"/>
  <c r="BH8" i="2"/>
  <c r="BK8" i="2" s="1"/>
  <c r="BM8" i="2" s="1"/>
  <c r="V8" i="2"/>
  <c r="W8" i="2"/>
  <c r="Z8" i="2" s="1"/>
  <c r="X8" i="2"/>
  <c r="AA8" i="2" s="1"/>
  <c r="AC8" i="2" s="1"/>
  <c r="O8" i="2"/>
  <c r="R8" i="2" s="1"/>
  <c r="T8" i="2" s="1"/>
  <c r="N8" i="2"/>
  <c r="M8" i="2"/>
  <c r="P8" i="2" s="1"/>
  <c r="L9" i="2"/>
  <c r="AV67" i="2" l="1"/>
  <c r="A170" i="2"/>
  <c r="Q150" i="2"/>
  <c r="S150" i="2" s="1"/>
  <c r="U150" i="2" s="1"/>
  <c r="Y150" i="2"/>
  <c r="AB150" i="2" s="1"/>
  <c r="AD150" i="2" s="1"/>
  <c r="Y127" i="2"/>
  <c r="AB127" i="2" s="1"/>
  <c r="AD127" i="2" s="1"/>
  <c r="Q127" i="2"/>
  <c r="S127" i="2" s="1"/>
  <c r="U127" i="2" s="1"/>
  <c r="BG128" i="2"/>
  <c r="BJ128" i="2" s="1"/>
  <c r="AP128" i="2"/>
  <c r="AS128" i="2" s="1"/>
  <c r="AU128" i="2" s="1"/>
  <c r="AW128" i="2"/>
  <c r="AZ128" i="2" s="1"/>
  <c r="AX128" i="2"/>
  <c r="BA128" i="2" s="1"/>
  <c r="AY128" i="2"/>
  <c r="BB128" i="2" s="1"/>
  <c r="BD128" i="2" s="1"/>
  <c r="BF128" i="2"/>
  <c r="BI128" i="2" s="1"/>
  <c r="BL128" i="2" s="1"/>
  <c r="X128" i="2"/>
  <c r="AA128" i="2" s="1"/>
  <c r="AC128" i="2" s="1"/>
  <c r="BH128" i="2"/>
  <c r="BK128" i="2" s="1"/>
  <c r="BM128" i="2" s="1"/>
  <c r="M128" i="2"/>
  <c r="P128" i="2" s="1"/>
  <c r="N128" i="2"/>
  <c r="O128" i="2"/>
  <c r="R128" i="2" s="1"/>
  <c r="T128" i="2" s="1"/>
  <c r="V128" i="2"/>
  <c r="W128" i="2"/>
  <c r="Z128" i="2" s="1"/>
  <c r="AE128" i="2"/>
  <c r="AH128" i="2" s="1"/>
  <c r="AF128" i="2"/>
  <c r="AI128" i="2" s="1"/>
  <c r="AG128" i="2"/>
  <c r="AJ128" i="2" s="1"/>
  <c r="AL128" i="2" s="1"/>
  <c r="AN128" i="2"/>
  <c r="AQ128" i="2" s="1"/>
  <c r="AO128" i="2"/>
  <c r="AR128" i="2" s="1"/>
  <c r="L129" i="2"/>
  <c r="Q67" i="2"/>
  <c r="S67" i="2" s="1"/>
  <c r="U67" i="2" s="1"/>
  <c r="Y67" i="2"/>
  <c r="AB67" i="2" s="1"/>
  <c r="AD67" i="2" s="1"/>
  <c r="AN68" i="2"/>
  <c r="AQ68" i="2" s="1"/>
  <c r="AO68" i="2"/>
  <c r="AR68" i="2" s="1"/>
  <c r="M68" i="2"/>
  <c r="P68" i="2" s="1"/>
  <c r="AE68" i="2"/>
  <c r="AH68" i="2" s="1"/>
  <c r="N68" i="2"/>
  <c r="O68" i="2"/>
  <c r="R68" i="2" s="1"/>
  <c r="T68" i="2" s="1"/>
  <c r="W68" i="2"/>
  <c r="Z68" i="2" s="1"/>
  <c r="V68" i="2"/>
  <c r="BH68" i="2"/>
  <c r="BK68" i="2" s="1"/>
  <c r="BM68" i="2" s="1"/>
  <c r="BG68" i="2"/>
  <c r="BJ68" i="2" s="1"/>
  <c r="BF68" i="2"/>
  <c r="BI68" i="2" s="1"/>
  <c r="BL68" i="2" s="1"/>
  <c r="BN68" i="2" s="1"/>
  <c r="AY68" i="2"/>
  <c r="BB68" i="2" s="1"/>
  <c r="BD68" i="2" s="1"/>
  <c r="AX68" i="2"/>
  <c r="BA68" i="2" s="1"/>
  <c r="AW68" i="2"/>
  <c r="AZ68" i="2" s="1"/>
  <c r="BC68" i="2" s="1"/>
  <c r="BE68" i="2" s="1"/>
  <c r="AP68" i="2"/>
  <c r="AS68" i="2" s="1"/>
  <c r="AU68" i="2" s="1"/>
  <c r="X68" i="2"/>
  <c r="AA68" i="2" s="1"/>
  <c r="AC68" i="2" s="1"/>
  <c r="AF68" i="2"/>
  <c r="AI68" i="2" s="1"/>
  <c r="AG68" i="2"/>
  <c r="AJ68" i="2" s="1"/>
  <c r="AL68" i="2" s="1"/>
  <c r="L69" i="2"/>
  <c r="Y47" i="2"/>
  <c r="AB47" i="2" s="1"/>
  <c r="AD47" i="2" s="1"/>
  <c r="Q47" i="2"/>
  <c r="S47" i="2" s="1"/>
  <c r="U47" i="2" s="1"/>
  <c r="W48" i="2"/>
  <c r="Z48" i="2" s="1"/>
  <c r="X48" i="2"/>
  <c r="AA48" i="2" s="1"/>
  <c r="AC48" i="2" s="1"/>
  <c r="AE48" i="2"/>
  <c r="AH48" i="2" s="1"/>
  <c r="AF48" i="2"/>
  <c r="AI48" i="2" s="1"/>
  <c r="AG48" i="2"/>
  <c r="AJ48" i="2" s="1"/>
  <c r="AL48" i="2" s="1"/>
  <c r="AN48" i="2"/>
  <c r="AQ48" i="2" s="1"/>
  <c r="AO48" i="2"/>
  <c r="AR48" i="2" s="1"/>
  <c r="O48" i="2"/>
  <c r="R48" i="2" s="1"/>
  <c r="T48" i="2" s="1"/>
  <c r="N48" i="2"/>
  <c r="AP48" i="2"/>
  <c r="AS48" i="2" s="1"/>
  <c r="AU48" i="2" s="1"/>
  <c r="AX48" i="2"/>
  <c r="BA48" i="2" s="1"/>
  <c r="AW48" i="2"/>
  <c r="AZ48" i="2" s="1"/>
  <c r="BC48" i="2" s="1"/>
  <c r="AY48" i="2"/>
  <c r="BB48" i="2" s="1"/>
  <c r="BD48" i="2" s="1"/>
  <c r="BF48" i="2"/>
  <c r="BI48" i="2" s="1"/>
  <c r="BG48" i="2"/>
  <c r="BJ48" i="2" s="1"/>
  <c r="BH48" i="2"/>
  <c r="BK48" i="2" s="1"/>
  <c r="BM48" i="2" s="1"/>
  <c r="V48" i="2"/>
  <c r="M48" i="2"/>
  <c r="P48" i="2" s="1"/>
  <c r="L49" i="2"/>
  <c r="AT127" i="2"/>
  <c r="AV127" i="2" s="1"/>
  <c r="BL127" i="2"/>
  <c r="BN127" i="2" s="1"/>
  <c r="BC127" i="2"/>
  <c r="BE127" i="2" s="1"/>
  <c r="BC67" i="2"/>
  <c r="BE67" i="2" s="1"/>
  <c r="BL67" i="2"/>
  <c r="BN67" i="2" s="1"/>
  <c r="AK67" i="2"/>
  <c r="AM67" i="2" s="1"/>
  <c r="AT47" i="2"/>
  <c r="AV47" i="2" s="1"/>
  <c r="BC47" i="2"/>
  <c r="BE47" i="2" s="1"/>
  <c r="BL47" i="2"/>
  <c r="BN47" i="2" s="1"/>
  <c r="AM150" i="2"/>
  <c r="AK47" i="2"/>
  <c r="AM47" i="2" s="1"/>
  <c r="BL28" i="2"/>
  <c r="AK8" i="2"/>
  <c r="AM8" i="2" s="1"/>
  <c r="BC8" i="2"/>
  <c r="BE8" i="2" s="1"/>
  <c r="Y28" i="2"/>
  <c r="AB28" i="2" s="1"/>
  <c r="AD28" i="2" s="1"/>
  <c r="Q28" i="2"/>
  <c r="S28" i="2" s="1"/>
  <c r="U28" i="2" s="1"/>
  <c r="AN29" i="2"/>
  <c r="AQ29" i="2" s="1"/>
  <c r="AG29" i="2"/>
  <c r="AJ29" i="2" s="1"/>
  <c r="AL29" i="2" s="1"/>
  <c r="AF29" i="2"/>
  <c r="AI29" i="2" s="1"/>
  <c r="AE29" i="2"/>
  <c r="AH29" i="2" s="1"/>
  <c r="AK29" i="2" s="1"/>
  <c r="AM29" i="2" s="1"/>
  <c r="X29" i="2"/>
  <c r="AA29" i="2" s="1"/>
  <c r="AC29" i="2" s="1"/>
  <c r="W29" i="2"/>
  <c r="Z29" i="2" s="1"/>
  <c r="V29" i="2"/>
  <c r="AW29" i="2"/>
  <c r="AZ29" i="2" s="1"/>
  <c r="N29" i="2"/>
  <c r="M29" i="2"/>
  <c r="P29" i="2" s="1"/>
  <c r="BG29" i="2"/>
  <c r="BJ29" i="2" s="1"/>
  <c r="BF29" i="2"/>
  <c r="BI29" i="2" s="1"/>
  <c r="BL29" i="2" s="1"/>
  <c r="AY29" i="2"/>
  <c r="BB29" i="2" s="1"/>
  <c r="BD29" i="2" s="1"/>
  <c r="AX29" i="2"/>
  <c r="BA29" i="2" s="1"/>
  <c r="BH29" i="2"/>
  <c r="BK29" i="2" s="1"/>
  <c r="BM29" i="2" s="1"/>
  <c r="AP29" i="2"/>
  <c r="AS29" i="2" s="1"/>
  <c r="AU29" i="2" s="1"/>
  <c r="AO29" i="2"/>
  <c r="AR29" i="2" s="1"/>
  <c r="O29" i="2"/>
  <c r="R29" i="2" s="1"/>
  <c r="T29" i="2" s="1"/>
  <c r="L30" i="2"/>
  <c r="AK28" i="2"/>
  <c r="AM28" i="2" s="1"/>
  <c r="AT28" i="2"/>
  <c r="AV28" i="2" s="1"/>
  <c r="BC28" i="2"/>
  <c r="BE28" i="2" s="1"/>
  <c r="BN28" i="2"/>
  <c r="AT8" i="2"/>
  <c r="AV8" i="2" s="1"/>
  <c r="BL8" i="2"/>
  <c r="BN8" i="2" s="1"/>
  <c r="Q8" i="2"/>
  <c r="S8" i="2" s="1"/>
  <c r="Y8" i="2"/>
  <c r="AB8" i="2" s="1"/>
  <c r="AD8" i="2" s="1"/>
  <c r="AE9" i="2"/>
  <c r="AH9" i="2" s="1"/>
  <c r="AF9" i="2"/>
  <c r="AI9" i="2" s="1"/>
  <c r="AG9" i="2"/>
  <c r="AJ9" i="2" s="1"/>
  <c r="AL9" i="2" s="1"/>
  <c r="AN9" i="2"/>
  <c r="AQ9" i="2" s="1"/>
  <c r="AO9" i="2"/>
  <c r="AR9" i="2" s="1"/>
  <c r="AP9" i="2"/>
  <c r="AS9" i="2" s="1"/>
  <c r="AU9" i="2" s="1"/>
  <c r="AW9" i="2"/>
  <c r="AZ9" i="2" s="1"/>
  <c r="AX9" i="2"/>
  <c r="BA9" i="2" s="1"/>
  <c r="AY9" i="2"/>
  <c r="BB9" i="2" s="1"/>
  <c r="BD9" i="2" s="1"/>
  <c r="BF9" i="2"/>
  <c r="BI9" i="2" s="1"/>
  <c r="BG9" i="2"/>
  <c r="BJ9" i="2" s="1"/>
  <c r="BH9" i="2"/>
  <c r="BK9" i="2" s="1"/>
  <c r="BM9" i="2" s="1"/>
  <c r="V9" i="2"/>
  <c r="W9" i="2"/>
  <c r="Z9" i="2" s="1"/>
  <c r="X9" i="2"/>
  <c r="AA9" i="2" s="1"/>
  <c r="AC9" i="2" s="1"/>
  <c r="M9" i="2"/>
  <c r="P9" i="2" s="1"/>
  <c r="O9" i="2"/>
  <c r="R9" i="2" s="1"/>
  <c r="T9" i="2" s="1"/>
  <c r="N9" i="2"/>
  <c r="L10" i="2"/>
  <c r="AK68" i="2" l="1"/>
  <c r="BC29" i="2"/>
  <c r="BE29" i="2" s="1"/>
  <c r="BE48" i="2"/>
  <c r="U8" i="2"/>
  <c r="Y128" i="2"/>
  <c r="AB128" i="2" s="1"/>
  <c r="AD128" i="2" s="1"/>
  <c r="Q128" i="2"/>
  <c r="S128" i="2" s="1"/>
  <c r="U128" i="2" s="1"/>
  <c r="O129" i="2"/>
  <c r="R129" i="2" s="1"/>
  <c r="T129" i="2" s="1"/>
  <c r="M129" i="2"/>
  <c r="P129" i="2" s="1"/>
  <c r="BF129" i="2"/>
  <c r="BI129" i="2" s="1"/>
  <c r="AW129" i="2"/>
  <c r="AZ129" i="2" s="1"/>
  <c r="BG129" i="2"/>
  <c r="BJ129" i="2" s="1"/>
  <c r="BH129" i="2"/>
  <c r="BK129" i="2" s="1"/>
  <c r="BM129" i="2" s="1"/>
  <c r="AE129" i="2"/>
  <c r="AH129" i="2" s="1"/>
  <c r="X129" i="2"/>
  <c r="AA129" i="2" s="1"/>
  <c r="AC129" i="2" s="1"/>
  <c r="AY129" i="2"/>
  <c r="BB129" i="2" s="1"/>
  <c r="BD129" i="2" s="1"/>
  <c r="W129" i="2"/>
  <c r="Z129" i="2" s="1"/>
  <c r="V129" i="2"/>
  <c r="AX129" i="2"/>
  <c r="BA129" i="2" s="1"/>
  <c r="AF129" i="2"/>
  <c r="AI129" i="2" s="1"/>
  <c r="AG129" i="2"/>
  <c r="AJ129" i="2" s="1"/>
  <c r="AL129" i="2" s="1"/>
  <c r="N129" i="2"/>
  <c r="AN129" i="2"/>
  <c r="AQ129" i="2" s="1"/>
  <c r="AO129" i="2"/>
  <c r="AR129" i="2" s="1"/>
  <c r="AP129" i="2"/>
  <c r="AS129" i="2" s="1"/>
  <c r="AU129" i="2" s="1"/>
  <c r="L130" i="2"/>
  <c r="Q68" i="2"/>
  <c r="S68" i="2" s="1"/>
  <c r="U68" i="2" s="1"/>
  <c r="Y68" i="2"/>
  <c r="AB68" i="2" s="1"/>
  <c r="AD68" i="2" s="1"/>
  <c r="AX69" i="2"/>
  <c r="BA69" i="2" s="1"/>
  <c r="AY69" i="2"/>
  <c r="BB69" i="2" s="1"/>
  <c r="BD69" i="2" s="1"/>
  <c r="W69" i="2"/>
  <c r="Z69" i="2" s="1"/>
  <c r="BF69" i="2"/>
  <c r="BI69" i="2" s="1"/>
  <c r="BG69" i="2"/>
  <c r="BJ69" i="2" s="1"/>
  <c r="N69" i="2"/>
  <c r="V69" i="2"/>
  <c r="O69" i="2"/>
  <c r="R69" i="2" s="1"/>
  <c r="T69" i="2" s="1"/>
  <c r="M69" i="2"/>
  <c r="P69" i="2" s="1"/>
  <c r="BH69" i="2"/>
  <c r="BK69" i="2" s="1"/>
  <c r="BM69" i="2" s="1"/>
  <c r="X69" i="2"/>
  <c r="AA69" i="2" s="1"/>
  <c r="AC69" i="2" s="1"/>
  <c r="AE69" i="2"/>
  <c r="AH69" i="2" s="1"/>
  <c r="AF69" i="2"/>
  <c r="AI69" i="2" s="1"/>
  <c r="AG69" i="2"/>
  <c r="AJ69" i="2" s="1"/>
  <c r="AL69" i="2" s="1"/>
  <c r="AN69" i="2"/>
  <c r="AQ69" i="2" s="1"/>
  <c r="AO69" i="2"/>
  <c r="AR69" i="2" s="1"/>
  <c r="AP69" i="2"/>
  <c r="AS69" i="2" s="1"/>
  <c r="AU69" i="2" s="1"/>
  <c r="AW69" i="2"/>
  <c r="AZ69" i="2" s="1"/>
  <c r="L70" i="2"/>
  <c r="Q48" i="2"/>
  <c r="S48" i="2" s="1"/>
  <c r="U48" i="2" s="1"/>
  <c r="Y48" i="2"/>
  <c r="AB48" i="2" s="1"/>
  <c r="AD48" i="2" s="1"/>
  <c r="BF49" i="2"/>
  <c r="BI49" i="2" s="1"/>
  <c r="AY49" i="2"/>
  <c r="BB49" i="2" s="1"/>
  <c r="BD49" i="2" s="1"/>
  <c r="AX49" i="2"/>
  <c r="BA49" i="2" s="1"/>
  <c r="AW49" i="2"/>
  <c r="AZ49" i="2" s="1"/>
  <c r="BC49" i="2" s="1"/>
  <c r="BE49" i="2" s="1"/>
  <c r="AP49" i="2"/>
  <c r="AS49" i="2" s="1"/>
  <c r="AU49" i="2" s="1"/>
  <c r="AO49" i="2"/>
  <c r="AR49" i="2" s="1"/>
  <c r="AN49" i="2"/>
  <c r="AQ49" i="2" s="1"/>
  <c r="AT49" i="2" s="1"/>
  <c r="AV49" i="2" s="1"/>
  <c r="AF49" i="2"/>
  <c r="AI49" i="2" s="1"/>
  <c r="AE49" i="2"/>
  <c r="AH49" i="2" s="1"/>
  <c r="AK49" i="2" s="1"/>
  <c r="W49" i="2"/>
  <c r="Z49" i="2" s="1"/>
  <c r="V49" i="2"/>
  <c r="O49" i="2"/>
  <c r="R49" i="2" s="1"/>
  <c r="T49" i="2" s="1"/>
  <c r="N49" i="2"/>
  <c r="M49" i="2"/>
  <c r="P49" i="2" s="1"/>
  <c r="AG49" i="2"/>
  <c r="AJ49" i="2" s="1"/>
  <c r="AL49" i="2" s="1"/>
  <c r="BH49" i="2"/>
  <c r="BK49" i="2" s="1"/>
  <c r="BM49" i="2" s="1"/>
  <c r="BG49" i="2"/>
  <c r="BJ49" i="2" s="1"/>
  <c r="X49" i="2"/>
  <c r="AA49" i="2" s="1"/>
  <c r="AC49" i="2" s="1"/>
  <c r="L50" i="2"/>
  <c r="BC128" i="2"/>
  <c r="BE128" i="2" s="1"/>
  <c r="BN128" i="2"/>
  <c r="AK128" i="2"/>
  <c r="AM128" i="2" s="1"/>
  <c r="AT128" i="2"/>
  <c r="AV128" i="2" s="1"/>
  <c r="AT68" i="2"/>
  <c r="AV68" i="2" s="1"/>
  <c r="BL48" i="2"/>
  <c r="BN48" i="2" s="1"/>
  <c r="AM68" i="2"/>
  <c r="AT48" i="2"/>
  <c r="AV48" i="2" s="1"/>
  <c r="AK48" i="2"/>
  <c r="AM48" i="2" s="1"/>
  <c r="Y29" i="2"/>
  <c r="AB29" i="2" s="1"/>
  <c r="AD29" i="2" s="1"/>
  <c r="Q29" i="2"/>
  <c r="S29" i="2" s="1"/>
  <c r="U29" i="2" s="1"/>
  <c r="AN30" i="2"/>
  <c r="AQ30" i="2" s="1"/>
  <c r="AO30" i="2"/>
  <c r="AR30" i="2" s="1"/>
  <c r="AG30" i="2"/>
  <c r="AJ30" i="2" s="1"/>
  <c r="AL30" i="2" s="1"/>
  <c r="AF30" i="2"/>
  <c r="AI30" i="2" s="1"/>
  <c r="AE30" i="2"/>
  <c r="AH30" i="2" s="1"/>
  <c r="AK30" i="2" s="1"/>
  <c r="AM30" i="2" s="1"/>
  <c r="W30" i="2"/>
  <c r="Z30" i="2" s="1"/>
  <c r="V30" i="2"/>
  <c r="O30" i="2"/>
  <c r="R30" i="2" s="1"/>
  <c r="T30" i="2" s="1"/>
  <c r="N30" i="2"/>
  <c r="M30" i="2"/>
  <c r="P30" i="2" s="1"/>
  <c r="AP30" i="2"/>
  <c r="AS30" i="2" s="1"/>
  <c r="AU30" i="2" s="1"/>
  <c r="X30" i="2"/>
  <c r="AA30" i="2" s="1"/>
  <c r="AC30" i="2" s="1"/>
  <c r="BH30" i="2"/>
  <c r="BK30" i="2" s="1"/>
  <c r="BM30" i="2" s="1"/>
  <c r="BG30" i="2"/>
  <c r="BJ30" i="2" s="1"/>
  <c r="BF30" i="2"/>
  <c r="BI30" i="2" s="1"/>
  <c r="BL30" i="2" s="1"/>
  <c r="BN30" i="2" s="1"/>
  <c r="AY30" i="2"/>
  <c r="BB30" i="2" s="1"/>
  <c r="BD30" i="2" s="1"/>
  <c r="AX30" i="2"/>
  <c r="BA30" i="2" s="1"/>
  <c r="AW30" i="2"/>
  <c r="AZ30" i="2" s="1"/>
  <c r="BC30" i="2" s="1"/>
  <c r="BE30" i="2" s="1"/>
  <c r="AT29" i="2"/>
  <c r="AV29" i="2" s="1"/>
  <c r="BN29" i="2"/>
  <c r="AK9" i="2"/>
  <c r="AM9" i="2" s="1"/>
  <c r="AT9" i="2"/>
  <c r="AV9" i="2" s="1"/>
  <c r="BC9" i="2"/>
  <c r="BE9" i="2" s="1"/>
  <c r="BL9" i="2"/>
  <c r="BN9" i="2" s="1"/>
  <c r="Q9" i="2"/>
  <c r="S9" i="2" s="1"/>
  <c r="U9" i="2" s="1"/>
  <c r="Y9" i="2"/>
  <c r="AB9" i="2" s="1"/>
  <c r="AD9" i="2" s="1"/>
  <c r="AE10" i="2"/>
  <c r="AH10" i="2" s="1"/>
  <c r="AF10" i="2"/>
  <c r="AI10" i="2" s="1"/>
  <c r="AG10" i="2"/>
  <c r="AJ10" i="2" s="1"/>
  <c r="AL10" i="2" s="1"/>
  <c r="AN10" i="2"/>
  <c r="AQ10" i="2" s="1"/>
  <c r="AO10" i="2"/>
  <c r="AR10" i="2" s="1"/>
  <c r="AP10" i="2"/>
  <c r="AS10" i="2" s="1"/>
  <c r="AU10" i="2" s="1"/>
  <c r="AW10" i="2"/>
  <c r="AZ10" i="2" s="1"/>
  <c r="AX10" i="2"/>
  <c r="BA10" i="2" s="1"/>
  <c r="AY10" i="2"/>
  <c r="BB10" i="2" s="1"/>
  <c r="BD10" i="2" s="1"/>
  <c r="BF10" i="2"/>
  <c r="BI10" i="2" s="1"/>
  <c r="BG10" i="2"/>
  <c r="BJ10" i="2" s="1"/>
  <c r="BH10" i="2"/>
  <c r="BK10" i="2" s="1"/>
  <c r="BM10" i="2" s="1"/>
  <c r="V10" i="2"/>
  <c r="W10" i="2"/>
  <c r="Z10" i="2" s="1"/>
  <c r="X10" i="2"/>
  <c r="AA10" i="2" s="1"/>
  <c r="AC10" i="2" s="1"/>
  <c r="M10" i="2"/>
  <c r="P10" i="2" s="1"/>
  <c r="N10" i="2"/>
  <c r="O10" i="2"/>
  <c r="R10" i="2" s="1"/>
  <c r="T10" i="2" s="1"/>
  <c r="L11" i="2"/>
  <c r="BC69" i="2" l="1"/>
  <c r="AM49" i="2"/>
  <c r="BC129" i="2"/>
  <c r="AK129" i="2"/>
  <c r="AM129" i="2" s="1"/>
  <c r="Q129" i="2"/>
  <c r="S129" i="2" s="1"/>
  <c r="U129" i="2" s="1"/>
  <c r="Y129" i="2"/>
  <c r="AB129" i="2" s="1"/>
  <c r="AD129" i="2" s="1"/>
  <c r="O130" i="2"/>
  <c r="R130" i="2" s="1"/>
  <c r="T130" i="2" s="1"/>
  <c r="N130" i="2"/>
  <c r="M130" i="2"/>
  <c r="P130" i="2" s="1"/>
  <c r="Q69" i="2"/>
  <c r="S69" i="2" s="1"/>
  <c r="U69" i="2" s="1"/>
  <c r="Y69" i="2"/>
  <c r="AB69" i="2" s="1"/>
  <c r="AD69" i="2" s="1"/>
  <c r="AF70" i="2"/>
  <c r="AI70" i="2" s="1"/>
  <c r="AG70" i="2"/>
  <c r="AJ70" i="2" s="1"/>
  <c r="AL70" i="2" s="1"/>
  <c r="AN70" i="2"/>
  <c r="AQ70" i="2" s="1"/>
  <c r="AO70" i="2"/>
  <c r="AR70" i="2" s="1"/>
  <c r="AP70" i="2"/>
  <c r="AS70" i="2" s="1"/>
  <c r="AU70" i="2" s="1"/>
  <c r="AW70" i="2"/>
  <c r="AZ70" i="2" s="1"/>
  <c r="AY70" i="2"/>
  <c r="BB70" i="2" s="1"/>
  <c r="BD70" i="2" s="1"/>
  <c r="BF70" i="2"/>
  <c r="BI70" i="2" s="1"/>
  <c r="BG70" i="2"/>
  <c r="BJ70" i="2" s="1"/>
  <c r="BH70" i="2"/>
  <c r="BK70" i="2" s="1"/>
  <c r="BM70" i="2" s="1"/>
  <c r="AX70" i="2"/>
  <c r="BA70" i="2" s="1"/>
  <c r="M70" i="2"/>
  <c r="P70" i="2" s="1"/>
  <c r="N70" i="2"/>
  <c r="O70" i="2"/>
  <c r="R70" i="2" s="1"/>
  <c r="T70" i="2" s="1"/>
  <c r="V70" i="2"/>
  <c r="W70" i="2"/>
  <c r="Z70" i="2" s="1"/>
  <c r="X70" i="2"/>
  <c r="AA70" i="2" s="1"/>
  <c r="AC70" i="2" s="1"/>
  <c r="AE70" i="2"/>
  <c r="AH70" i="2" s="1"/>
  <c r="Y49" i="2"/>
  <c r="AB49" i="2" s="1"/>
  <c r="AD49" i="2" s="1"/>
  <c r="Q49" i="2"/>
  <c r="S49" i="2" s="1"/>
  <c r="U49" i="2" s="1"/>
  <c r="BG50" i="2"/>
  <c r="BJ50" i="2" s="1"/>
  <c r="BF50" i="2"/>
  <c r="BI50" i="2" s="1"/>
  <c r="AY50" i="2"/>
  <c r="BB50" i="2" s="1"/>
  <c r="BD50" i="2" s="1"/>
  <c r="AX50" i="2"/>
  <c r="BA50" i="2" s="1"/>
  <c r="AW50" i="2"/>
  <c r="AZ50" i="2" s="1"/>
  <c r="BC50" i="2" s="1"/>
  <c r="BE50" i="2" s="1"/>
  <c r="AO50" i="2"/>
  <c r="AR50" i="2" s="1"/>
  <c r="AP50" i="2"/>
  <c r="AS50" i="2" s="1"/>
  <c r="AU50" i="2" s="1"/>
  <c r="AN50" i="2"/>
  <c r="AQ50" i="2" s="1"/>
  <c r="AT50" i="2" s="1"/>
  <c r="AV50" i="2" s="1"/>
  <c r="M50" i="2"/>
  <c r="P50" i="2" s="1"/>
  <c r="N50" i="2"/>
  <c r="V50" i="2"/>
  <c r="W50" i="2"/>
  <c r="Z50" i="2" s="1"/>
  <c r="X50" i="2"/>
  <c r="AA50" i="2" s="1"/>
  <c r="AC50" i="2" s="1"/>
  <c r="AE50" i="2"/>
  <c r="AH50" i="2" s="1"/>
  <c r="AF50" i="2"/>
  <c r="AI50" i="2" s="1"/>
  <c r="BH50" i="2"/>
  <c r="BK50" i="2" s="1"/>
  <c r="BM50" i="2" s="1"/>
  <c r="AG50" i="2"/>
  <c r="AJ50" i="2" s="1"/>
  <c r="AL50" i="2" s="1"/>
  <c r="O50" i="2"/>
  <c r="R50" i="2" s="1"/>
  <c r="T50" i="2" s="1"/>
  <c r="BL129" i="2"/>
  <c r="BN129" i="2" s="1"/>
  <c r="BE129" i="2"/>
  <c r="AT129" i="2"/>
  <c r="AV129" i="2" s="1"/>
  <c r="BL69" i="2"/>
  <c r="BN69" i="2" s="1"/>
  <c r="AK69" i="2"/>
  <c r="AM69" i="2" s="1"/>
  <c r="AT69" i="2"/>
  <c r="AV69" i="2" s="1"/>
  <c r="BE69" i="2"/>
  <c r="AK10" i="2"/>
  <c r="AM10" i="2" s="1"/>
  <c r="BL49" i="2"/>
  <c r="BN49" i="2" s="1"/>
  <c r="Y30" i="2"/>
  <c r="AB30" i="2" s="1"/>
  <c r="AD30" i="2" s="1"/>
  <c r="Q30" i="2"/>
  <c r="S30" i="2" s="1"/>
  <c r="U30" i="2" s="1"/>
  <c r="AT30" i="2"/>
  <c r="AV30" i="2" s="1"/>
  <c r="BC10" i="2"/>
  <c r="BE10" i="2" s="1"/>
  <c r="AT10" i="2"/>
  <c r="AV10" i="2" s="1"/>
  <c r="BL10" i="2"/>
  <c r="BN10" i="2" s="1"/>
  <c r="Q10" i="2"/>
  <c r="Y10" i="2"/>
  <c r="AB10" i="2" s="1"/>
  <c r="AD10" i="2" s="1"/>
  <c r="AE11" i="2"/>
  <c r="AH11" i="2" s="1"/>
  <c r="AF11" i="2"/>
  <c r="AI11" i="2" s="1"/>
  <c r="AG11" i="2"/>
  <c r="AJ11" i="2" s="1"/>
  <c r="AL11" i="2" s="1"/>
  <c r="AN11" i="2"/>
  <c r="AQ11" i="2" s="1"/>
  <c r="AO11" i="2"/>
  <c r="AR11" i="2" s="1"/>
  <c r="AP11" i="2"/>
  <c r="AS11" i="2" s="1"/>
  <c r="AU11" i="2" s="1"/>
  <c r="AW11" i="2"/>
  <c r="AZ11" i="2" s="1"/>
  <c r="AX11" i="2"/>
  <c r="BA11" i="2" s="1"/>
  <c r="AY11" i="2"/>
  <c r="BB11" i="2" s="1"/>
  <c r="BD11" i="2" s="1"/>
  <c r="BF11" i="2"/>
  <c r="BI11" i="2" s="1"/>
  <c r="BG11" i="2"/>
  <c r="BJ11" i="2" s="1"/>
  <c r="BH11" i="2"/>
  <c r="BK11" i="2" s="1"/>
  <c r="BM11" i="2" s="1"/>
  <c r="V11" i="2"/>
  <c r="W11" i="2"/>
  <c r="Z11" i="2" s="1"/>
  <c r="X11" i="2"/>
  <c r="AA11" i="2" s="1"/>
  <c r="AC11" i="2" s="1"/>
  <c r="N11" i="2"/>
  <c r="M11" i="2"/>
  <c r="P11" i="2" s="1"/>
  <c r="O11" i="2"/>
  <c r="R11" i="2" s="1"/>
  <c r="T11" i="2" s="1"/>
  <c r="S10" i="2"/>
  <c r="U10" i="2" s="1"/>
  <c r="AT70" i="2" l="1"/>
  <c r="AV70" i="2" s="1"/>
  <c r="Q130" i="2"/>
  <c r="S130" i="2" s="1"/>
  <c r="U130" i="2" s="1"/>
  <c r="Y130" i="2"/>
  <c r="AB130" i="2" s="1"/>
  <c r="AD130" i="2" s="1"/>
  <c r="Y70" i="2"/>
  <c r="AB70" i="2" s="1"/>
  <c r="AD70" i="2" s="1"/>
  <c r="Q70" i="2"/>
  <c r="S70" i="2" s="1"/>
  <c r="U70" i="2" s="1"/>
  <c r="Q50" i="2"/>
  <c r="S50" i="2" s="1"/>
  <c r="U50" i="2" s="1"/>
  <c r="Y50" i="2"/>
  <c r="AB50" i="2" s="1"/>
  <c r="AD50" i="2" s="1"/>
  <c r="BC70" i="2"/>
  <c r="BE70" i="2" s="1"/>
  <c r="BL70" i="2"/>
  <c r="BN70" i="2" s="1"/>
  <c r="AK70" i="2"/>
  <c r="AM70" i="2" s="1"/>
  <c r="BL50" i="2"/>
  <c r="BN50" i="2" s="1"/>
  <c r="AK50" i="2"/>
  <c r="AM50" i="2" s="1"/>
  <c r="AK11" i="2"/>
  <c r="AM11" i="2" s="1"/>
  <c r="AT11" i="2"/>
  <c r="AV11" i="2" s="1"/>
  <c r="BC11" i="2"/>
  <c r="BE11" i="2" s="1"/>
  <c r="BL11" i="2"/>
  <c r="BN11" i="2" s="1"/>
  <c r="Q11" i="2"/>
  <c r="Y11" i="2"/>
  <c r="AB11" i="2" s="1"/>
  <c r="AD11" i="2" s="1"/>
  <c r="S11" i="2" l="1"/>
  <c r="U11" i="2" s="1"/>
  <c r="A1" i="4" a="1"/>
  <c r="A1" i="3" l="1" a="1"/>
  <c r="A2" i="5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<sst xmlns="http://schemas.openxmlformats.org/spreadsheetml/2006/main" count="168" uniqueCount="73">
  <si>
    <t>Equipment Selection</t>
  </si>
  <si>
    <t>FLC ( 1200 x 1000 x 800) mm</t>
  </si>
  <si>
    <t>FLC ( 1200 x 800 x 975) mm</t>
  </si>
  <si>
    <t>FCS (810 x 760 x 860)mm</t>
  </si>
  <si>
    <t>Crate (600 x 400 x 120) mm</t>
  </si>
  <si>
    <t>Crate (600 x 400 x 170) mm</t>
  </si>
  <si>
    <t>Crate (600 x 400 x 220) mm</t>
  </si>
  <si>
    <t>Crate (400 x 300 x 120) mm</t>
  </si>
  <si>
    <t>Crate (400 x 300 x 170) mm</t>
  </si>
  <si>
    <t>Crate (400 x 300 x 220) mm</t>
  </si>
  <si>
    <t>Sr No</t>
  </si>
  <si>
    <t>Part Code</t>
  </si>
  <si>
    <t>Item Description</t>
  </si>
  <si>
    <t>2.0_M_CENTER BEZEL PREMIUM ASSY</t>
  </si>
  <si>
    <t>SHROUD UPPER</t>
  </si>
  <si>
    <t>SHROUD LOWER</t>
  </si>
  <si>
    <t>CLUSTER BEZEL LOWER ASSY</t>
  </si>
  <si>
    <t>DRIVER SIDE BOOSTER COVER ASSY</t>
  </si>
  <si>
    <t>PASSENGER SIDE KNEE COVER RHD ASSY</t>
  </si>
  <si>
    <t>END CAP LH ASSY</t>
  </si>
  <si>
    <t>END CAP RH ASSY</t>
  </si>
  <si>
    <t>DRIVER SIDE KNEE COVER RHD ASSY</t>
  </si>
  <si>
    <t>DIN_BIN</t>
  </si>
  <si>
    <t>Part Size (mm)      L</t>
  </si>
  <si>
    <t>Part Size (mm)      W</t>
  </si>
  <si>
    <t>Part Size (mm)      H</t>
  </si>
  <si>
    <t>Per Layer Qty</t>
  </si>
  <si>
    <t>Qty Req</t>
  </si>
  <si>
    <t>Layer / GLT</t>
  </si>
  <si>
    <t>Qty / GLT</t>
  </si>
  <si>
    <t>LXL - GLT Size ID(mm)</t>
  </si>
  <si>
    <t>LxW - GLT Size ID(mm)</t>
  </si>
  <si>
    <t>LxH - GLT Size ID(mm)</t>
  </si>
  <si>
    <t>WXW - GLT Size ID(mm)</t>
  </si>
  <si>
    <t>WxH - GLT Size ID(mm)</t>
  </si>
  <si>
    <t>HxW - GLT Size ID(mm)</t>
  </si>
  <si>
    <t>Equipment Orientation Selection</t>
  </si>
  <si>
    <t>LXL - Packet Array  L</t>
  </si>
  <si>
    <t>LXL - Packet Array  W</t>
  </si>
  <si>
    <t>LXL - Packet Array  H</t>
  </si>
  <si>
    <t>LXL - Parts / Layer</t>
  </si>
  <si>
    <t>LXL - Layers / GLT</t>
  </si>
  <si>
    <t>LXL - Parts / GLT</t>
  </si>
  <si>
    <t>LxW - Packet Array  L</t>
  </si>
  <si>
    <t>LxW - Packet Array  W</t>
  </si>
  <si>
    <t>LxW - Packet Array  H</t>
  </si>
  <si>
    <t>LxW - Parts / Layer</t>
  </si>
  <si>
    <t>LxW - Layers / GLT</t>
  </si>
  <si>
    <t>LxW - Parts / GLT</t>
  </si>
  <si>
    <t>LxH - Packet Array  L</t>
  </si>
  <si>
    <t>LxH - Packet Array  W</t>
  </si>
  <si>
    <t>LxH - Packet Array  H</t>
  </si>
  <si>
    <t>LxH - Parts / Layer</t>
  </si>
  <si>
    <t>LxH - Layers / GLT</t>
  </si>
  <si>
    <t>LxH - Parts / GLT</t>
  </si>
  <si>
    <t>WXW - Packet Array  L</t>
  </si>
  <si>
    <t>WXW - Packet Array  W</t>
  </si>
  <si>
    <t>WXW - Packet Array  H</t>
  </si>
  <si>
    <t>WXW - Parts / Layer</t>
  </si>
  <si>
    <t>WXW - Layers / GLT</t>
  </si>
  <si>
    <t>WXW - Parts / GLT</t>
  </si>
  <si>
    <t>WxH - Packet Array  L</t>
  </si>
  <si>
    <t>WxH - Packet Array  W</t>
  </si>
  <si>
    <t>WxH - Packet Array  H</t>
  </si>
  <si>
    <t>WxH - Parts / Layer</t>
  </si>
  <si>
    <t>WxH - Layers / GLT</t>
  </si>
  <si>
    <t>WxH - Parts / GLT</t>
  </si>
  <si>
    <t>HxW - Packet Array  L</t>
  </si>
  <si>
    <t>HxW - Packet Array  W</t>
  </si>
  <si>
    <t>HxW - Packet Array  H</t>
  </si>
  <si>
    <t>HxW - Parts / Layer</t>
  </si>
  <si>
    <t>HxW - Layers / GLT</t>
  </si>
  <si>
    <t>HxW - Parts / GLT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</si>
</sst>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2"/>
      <color theme="1"/>
      <name val="Aptos Narrow"/>
      <family val="2"/>
    </font>
    <font>
      <b/>
      <sz val="12"/>
      <color rgb="FF000000"/>
      <name val="Aptos Narrow"/>
      <family val="2"/>
    </font>
    <font>
      <sz val="12"/>
      <color rgb="FF000000"/>
      <name val="Aptos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4" fillId="0" borderId="1" xfId="0" applyFont="1" applyBorder="1" applyAlignment="1">
      <alignment horizontal="center" vertical="center" readingOrder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2" borderId="1" xfId="0" applyFont="1" applyFill="1" applyBorder="1" applyAlignment="1">
      <alignment horizontal="center" vertical="top" wrapText="1" readingOrder="1"/>
    </xf>
    <xf numFmtId="0" fontId="3" fillId="2" borderId="1" xfId="0" applyFont="1" applyFill="1" applyBorder="1" applyAlignment="1">
      <alignment horizontal="left" vertical="top" readingOrder="1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top" wrapText="1"/>
    </xf>
    <xf numFmtId="0" fontId="0" fillId="11" borderId="0" xfId="0" applyFill="1" applyAlignment="1">
      <alignment horizontal="center" vertical="top" wrapText="1"/>
    </xf>
    <xf numFmtId="0" fontId="0" fillId="11" borderId="3" xfId="0" applyFill="1" applyBorder="1" applyAlignment="1">
      <alignment horizontal="center" vertical="top" wrapText="1"/>
    </xf>
    <xf numFmtId="0" fontId="0" fillId="6" borderId="2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11" borderId="12" xfId="0" applyFill="1" applyBorder="1" applyAlignment="1">
      <alignment vertical="top"/>
    </xf>
    <xf numFmtId="0" fontId="0" fillId="0" borderId="12" xfId="0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0" fontId="0" fillId="10" borderId="13" xfId="0" applyFill="1" applyBorder="1" applyAlignment="1">
      <alignment vertical="center"/>
    </xf>
    <xf numFmtId="0" fontId="0" fillId="12" borderId="11" xfId="0" applyFill="1" applyBorder="1" applyAlignment="1">
      <alignment vertical="center"/>
    </xf>
    <xf numFmtId="0" fontId="0" fillId="12" borderId="2" xfId="0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0" fillId="13" borderId="0" xfId="0" applyFill="1" applyBorder="1" applyAlignment="1">
      <alignment vertical="center"/>
    </xf>
    <xf numFmtId="0" fontId="0" fillId="13" borderId="0" xfId="0" applyFill="1" applyBorder="1" applyAlignment="1">
      <alignment vertical="top"/>
    </xf>
    <xf numFmtId="0" fontId="0" fillId="13" borderId="14" xfId="0" applyFill="1" applyBorder="1" applyAlignment="1">
      <alignment horizontal="center" vertical="center"/>
    </xf>
    <xf numFmtId="0" fontId="0" fillId="13" borderId="15" xfId="0" applyFill="1" applyBorder="1" applyAlignment="1">
      <alignment horizontal="center" vertical="center"/>
    </xf>
    <xf numFmtId="0" fontId="0" fillId="13" borderId="16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top"/>
    </xf>
    <xf numFmtId="0" fontId="0" fillId="13" borderId="0" xfId="0" applyFill="1" applyBorder="1" applyAlignment="1">
      <alignment horizontal="center" vertical="top"/>
    </xf>
    <xf numFmtId="0" fontId="0" fillId="13" borderId="3" xfId="0" applyFill="1" applyBorder="1" applyAlignment="1">
      <alignment horizontal="center" vertical="top"/>
    </xf>
    <xf numFmtId="0" fontId="0" fillId="13" borderId="4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0" xfId="0" applyFill="1" applyBorder="1" applyAlignment="1">
      <alignment horizontal="left" vertical="center"/>
    </xf>
    <xf numFmtId="0" fontId="0" fillId="13" borderId="0" xfId="0" applyFill="1" applyBorder="1" applyAlignment="1">
      <alignment horizontal="left" vertical="top"/>
    </xf>
    <xf numFmtId="0" fontId="0" fillId="13" borderId="0" xfId="0" applyFont="1" applyFill="1" applyBorder="1" applyAlignment="1">
      <alignment horizontal="center" vertical="center"/>
    </xf>
    <xf numFmtId="0" fontId="0" fillId="13" borderId="0" xfId="0" applyFont="1" applyFill="1" applyBorder="1" applyAlignment="1">
      <alignment horizontal="center" vertical="top"/>
    </xf>
    <xf numFmtId="0" fontId="0" fillId="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top"/>
    </xf>
    <xf numFmtId="0" fontId="0" fillId="4" borderId="0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top"/>
    </xf>
    <xf numFmtId="0" fontId="0" fillId="13" borderId="15" xfId="0" applyFill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0" fontId="0" fillId="13" borderId="15" xfId="0" applyFont="1" applyFill="1" applyBorder="1" applyAlignment="1">
      <alignment horizontal="center" vertical="center"/>
    </xf>
    <xf numFmtId="0" fontId="0" fillId="13" borderId="5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13" borderId="5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top"/>
    </xf>
    <xf numFmtId="0" fontId="0" fillId="13" borderId="13" xfId="0" applyFill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0" fillId="3" borderId="1" xfId="0" applyFill="1" applyBorder="1" applyAlignment="1">
      <alignment horizontal="center" vertical="top" wrapText="1"/>
    </xf>
    <xf numFmtId="0" fontId="2" fillId="7" borderId="1" xfId="0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center" vertical="top" wrapText="1"/>
    </xf>
    <xf numFmtId="0" fontId="2" fillId="5" borderId="1" xfId="0" applyFont="1" applyFill="1" applyBorder="1" applyAlignment="1">
      <alignment horizontal="center" vertical="top" wrapText="1"/>
    </xf>
    <xf numFmtId="0" fontId="2" fillId="6" borderId="1" xfId="0" applyFont="1" applyFill="1" applyBorder="1" applyAlignment="1">
      <alignment horizontal="center" vertical="top" wrapText="1"/>
    </xf>
    <xf numFmtId="0" fontId="2" fillId="8" borderId="1" xfId="0" applyFont="1" applyFill="1" applyBorder="1" applyAlignment="1">
      <alignment horizontal="center" vertical="top" wrapText="1"/>
    </xf>
    <xf numFmtId="0" fontId="2" fillId="9" borderId="1" xfId="0" applyFont="1" applyFill="1" applyBorder="1" applyAlignment="1">
      <alignment horizontal="center" vertical="top" wrapText="1"/>
    </xf>
    <xf numFmtId="0" fontId="2" fillId="13" borderId="10" xfId="0" applyFont="1" applyFill="1" applyBorder="1" applyAlignment="1">
      <alignment horizontal="center" vertical="top" wrapText="1"/>
    </xf>
    <xf numFmtId="0" fontId="2" fillId="13" borderId="8" xfId="0" applyFont="1" applyFill="1" applyBorder="1" applyAlignment="1">
      <alignment horizontal="center" vertical="top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7" xfId="0" applyFont="1" applyFill="1" applyBorder="1" applyAlignment="1">
      <alignment horizontal="center" vertical="top" wrapText="1"/>
    </xf>
    <xf numFmtId="0" fontId="2" fillId="13" borderId="9" xfId="0" applyFont="1" applyFill="1" applyBorder="1" applyAlignment="1">
      <alignment horizontal="center" vertical="top" wrapText="1"/>
    </xf>
    <xf numFmtId="0" fontId="2" fillId="13" borderId="0" xfId="0" applyFont="1" applyFill="1" applyBorder="1" applyAlignment="1">
      <alignment horizontal="center" vertical="top" wrapText="1"/>
    </xf>
    <xf numFmtId="0" fontId="2" fillId="13" borderId="0" xfId="0" applyFont="1" applyFill="1" applyBorder="1" applyAlignment="1">
      <alignment vertical="top" wrapText="1"/>
    </xf>
  </cellXfs>
  <cellStyles count="1">
    <cellStyle name="Normal" xfId="0" builtinId="0"/>
  </cellStyles>
  <dxfs count="68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BE645-A8F6-4854-B056-A93AF9AE9154}">
  <dimension ref="A1:S12"/>
  <sheetViews>
    <sheetView workbookViewId="0">
      <selection activeCell="C15" sqref="C15"/>
    </sheetView>
  </sheetViews>
  <sheetFormatPr defaultRowHeight="14.4" x14ac:dyDescent="0.3"/>
  <cols>
    <col min="1" max="1" width="27" style="1" bestFit="1" customWidth="1"/>
    <col min="2" max="3" width="8.88671875" style="13"/>
  </cols>
  <sheetData>
    <row r="1" spans="1:19" ht="46.8" x14ac:dyDescent="0.3">
      <c r="A1" s="17" t="s">
        <v>0</v>
      </c>
      <c r="B1" s="16" t="s">
        <v>30</v>
      </c>
      <c r="C1" s="16" t="s">
        <v>30</v>
      </c>
      <c r="D1" s="16" t="s">
        <v>30</v>
      </c>
      <c r="E1" s="18" t="s">
        <v>31</v>
      </c>
      <c r="F1" s="18" t="s">
        <v>31</v>
      </c>
      <c r="G1" s="18" t="s">
        <v>31</v>
      </c>
      <c r="H1" s="19" t="s">
        <v>32</v>
      </c>
      <c r="I1" s="19" t="s">
        <v>32</v>
      </c>
      <c r="J1" s="19" t="s">
        <v>32</v>
      </c>
      <c r="K1" s="20" t="s">
        <v>33</v>
      </c>
      <c r="L1" s="20" t="s">
        <v>33</v>
      </c>
      <c r="M1" s="20" t="s">
        <v>33</v>
      </c>
      <c r="N1" s="22" t="s">
        <v>34</v>
      </c>
      <c r="O1" s="22" t="s">
        <v>34</v>
      </c>
      <c r="P1" s="22" t="s">
        <v>34</v>
      </c>
      <c r="Q1" s="23" t="s">
        <v>35</v>
      </c>
      <c r="R1" s="23" t="s">
        <v>35</v>
      </c>
      <c r="S1" s="23" t="s">
        <v>35</v>
      </c>
    </row>
    <row r="2" spans="1:19" ht="15.6" x14ac:dyDescent="0.3">
      <c r="A2" s="17" t="s">
        <v>1</v>
      </c>
      <c r="B2" s="15">
        <v>1120</v>
      </c>
      <c r="C2" s="15">
        <v>920</v>
      </c>
      <c r="D2" s="14">
        <v>640</v>
      </c>
      <c r="E2" s="4">
        <f>C2</f>
        <v>920</v>
      </c>
      <c r="F2" s="4">
        <f>B2</f>
        <v>1120</v>
      </c>
      <c r="G2" s="4">
        <f>D2</f>
        <v>640</v>
      </c>
      <c r="H2" s="4">
        <f>D2</f>
        <v>640</v>
      </c>
      <c r="I2" s="4">
        <f>B2</f>
        <v>1120</v>
      </c>
      <c r="J2" s="4">
        <f>C2</f>
        <v>920</v>
      </c>
      <c r="K2" s="4">
        <f>D2</f>
        <v>640</v>
      </c>
      <c r="L2" s="4">
        <f>C2</f>
        <v>920</v>
      </c>
      <c r="M2" s="4">
        <f>B2</f>
        <v>1120</v>
      </c>
      <c r="N2" s="4">
        <f>C2</f>
        <v>920</v>
      </c>
      <c r="O2" s="4">
        <f>D2</f>
        <v>640</v>
      </c>
      <c r="P2" s="4">
        <f>B2</f>
        <v>1120</v>
      </c>
      <c r="Q2" s="4">
        <f>B2</f>
        <v>1120</v>
      </c>
      <c r="R2" s="4">
        <f>D2</f>
        <v>640</v>
      </c>
      <c r="S2" s="4">
        <f>C2</f>
        <v>920</v>
      </c>
    </row>
    <row r="3" spans="1:19" ht="15.6" x14ac:dyDescent="0.3">
      <c r="A3" s="17" t="s">
        <v>2</v>
      </c>
      <c r="B3" s="15">
        <v>1155</v>
      </c>
      <c r="C3" s="15">
        <v>755</v>
      </c>
      <c r="D3" s="14">
        <v>780</v>
      </c>
      <c r="E3" s="4">
        <f t="shared" ref="E3:E10" si="0">C3</f>
        <v>755</v>
      </c>
      <c r="F3" s="4">
        <f t="shared" ref="F3:F10" si="1">B3</f>
        <v>1155</v>
      </c>
      <c r="G3" s="4">
        <f t="shared" ref="G3:G10" si="2">D3</f>
        <v>780</v>
      </c>
      <c r="H3" s="4">
        <f t="shared" ref="H3:H10" si="3">D3</f>
        <v>780</v>
      </c>
      <c r="I3" s="4">
        <f t="shared" ref="I3:I10" si="4">B3</f>
        <v>1155</v>
      </c>
      <c r="J3" s="4">
        <f t="shared" ref="J3:J10" si="5">C3</f>
        <v>755</v>
      </c>
      <c r="K3" s="4">
        <f t="shared" ref="K3:K10" si="6">D3</f>
        <v>780</v>
      </c>
      <c r="L3" s="4">
        <f t="shared" ref="L3:L10" si="7">C3</f>
        <v>755</v>
      </c>
      <c r="M3" s="4">
        <f t="shared" ref="M3:M10" si="8">B3</f>
        <v>1155</v>
      </c>
      <c r="N3" s="4">
        <f t="shared" ref="N3:N10" si="9">C3</f>
        <v>755</v>
      </c>
      <c r="O3" s="4">
        <f t="shared" ref="O3:O10" si="10">D3</f>
        <v>780</v>
      </c>
      <c r="P3" s="4">
        <f t="shared" ref="P3:P10" si="11">B3</f>
        <v>1155</v>
      </c>
      <c r="Q3" s="4">
        <f t="shared" ref="Q3:Q10" si="12">B3</f>
        <v>1155</v>
      </c>
      <c r="R3" s="4">
        <f t="shared" ref="R3:R10" si="13">D3</f>
        <v>780</v>
      </c>
      <c r="S3" s="4">
        <f t="shared" ref="S3:S10" si="14">C3</f>
        <v>755</v>
      </c>
    </row>
    <row r="4" spans="1:19" ht="15.6" x14ac:dyDescent="0.3">
      <c r="A4" s="17" t="s">
        <v>3</v>
      </c>
      <c r="B4" s="15">
        <v>780</v>
      </c>
      <c r="C4" s="15">
        <v>730</v>
      </c>
      <c r="D4" s="14">
        <v>720</v>
      </c>
      <c r="E4" s="4">
        <f t="shared" si="0"/>
        <v>730</v>
      </c>
      <c r="F4" s="4">
        <f t="shared" si="1"/>
        <v>780</v>
      </c>
      <c r="G4" s="4">
        <f t="shared" si="2"/>
        <v>720</v>
      </c>
      <c r="H4" s="4">
        <f t="shared" si="3"/>
        <v>720</v>
      </c>
      <c r="I4" s="4">
        <f t="shared" si="4"/>
        <v>780</v>
      </c>
      <c r="J4" s="4">
        <f t="shared" si="5"/>
        <v>730</v>
      </c>
      <c r="K4" s="4">
        <f t="shared" si="6"/>
        <v>720</v>
      </c>
      <c r="L4" s="4">
        <f t="shared" si="7"/>
        <v>730</v>
      </c>
      <c r="M4" s="4">
        <f t="shared" si="8"/>
        <v>780</v>
      </c>
      <c r="N4" s="4">
        <f t="shared" si="9"/>
        <v>730</v>
      </c>
      <c r="O4" s="4">
        <f t="shared" si="10"/>
        <v>720</v>
      </c>
      <c r="P4" s="4">
        <f t="shared" si="11"/>
        <v>780</v>
      </c>
      <c r="Q4" s="4">
        <f t="shared" si="12"/>
        <v>780</v>
      </c>
      <c r="R4" s="4">
        <f t="shared" si="13"/>
        <v>720</v>
      </c>
      <c r="S4" s="4">
        <f t="shared" si="14"/>
        <v>730</v>
      </c>
    </row>
    <row r="5" spans="1:19" ht="15.6" x14ac:dyDescent="0.3">
      <c r="A5" s="17" t="s">
        <v>4</v>
      </c>
      <c r="B5" s="15">
        <v>560</v>
      </c>
      <c r="C5" s="15">
        <v>360</v>
      </c>
      <c r="D5" s="14">
        <v>105</v>
      </c>
      <c r="E5" s="4">
        <f t="shared" si="0"/>
        <v>360</v>
      </c>
      <c r="F5" s="4">
        <f t="shared" si="1"/>
        <v>560</v>
      </c>
      <c r="G5" s="4">
        <f t="shared" si="2"/>
        <v>105</v>
      </c>
      <c r="H5" s="4">
        <f t="shared" si="3"/>
        <v>105</v>
      </c>
      <c r="I5" s="4">
        <f t="shared" si="4"/>
        <v>560</v>
      </c>
      <c r="J5" s="4">
        <f t="shared" si="5"/>
        <v>360</v>
      </c>
      <c r="K5" s="4">
        <f t="shared" si="6"/>
        <v>105</v>
      </c>
      <c r="L5" s="4">
        <f t="shared" si="7"/>
        <v>360</v>
      </c>
      <c r="M5" s="4">
        <f t="shared" si="8"/>
        <v>560</v>
      </c>
      <c r="N5" s="4">
        <f t="shared" si="9"/>
        <v>360</v>
      </c>
      <c r="O5" s="4">
        <f t="shared" si="10"/>
        <v>105</v>
      </c>
      <c r="P5" s="4">
        <f t="shared" si="11"/>
        <v>560</v>
      </c>
      <c r="Q5" s="4">
        <f t="shared" si="12"/>
        <v>560</v>
      </c>
      <c r="R5" s="4">
        <f t="shared" si="13"/>
        <v>105</v>
      </c>
      <c r="S5" s="4">
        <f t="shared" si="14"/>
        <v>360</v>
      </c>
    </row>
    <row r="6" spans="1:19" ht="15.6" x14ac:dyDescent="0.3">
      <c r="A6" s="17" t="s">
        <v>5</v>
      </c>
      <c r="B6" s="15">
        <v>560</v>
      </c>
      <c r="C6" s="15">
        <v>360</v>
      </c>
      <c r="D6" s="14">
        <v>155</v>
      </c>
      <c r="E6" s="4">
        <f t="shared" si="0"/>
        <v>360</v>
      </c>
      <c r="F6" s="4">
        <f t="shared" si="1"/>
        <v>560</v>
      </c>
      <c r="G6" s="4">
        <f t="shared" si="2"/>
        <v>155</v>
      </c>
      <c r="H6" s="4">
        <f t="shared" si="3"/>
        <v>155</v>
      </c>
      <c r="I6" s="4">
        <f t="shared" si="4"/>
        <v>560</v>
      </c>
      <c r="J6" s="4">
        <f t="shared" si="5"/>
        <v>360</v>
      </c>
      <c r="K6" s="4">
        <f t="shared" si="6"/>
        <v>155</v>
      </c>
      <c r="L6" s="4">
        <f t="shared" si="7"/>
        <v>360</v>
      </c>
      <c r="M6" s="4">
        <f t="shared" si="8"/>
        <v>560</v>
      </c>
      <c r="N6" s="4">
        <f t="shared" si="9"/>
        <v>360</v>
      </c>
      <c r="O6" s="4">
        <f t="shared" si="10"/>
        <v>155</v>
      </c>
      <c r="P6" s="4">
        <f t="shared" si="11"/>
        <v>560</v>
      </c>
      <c r="Q6" s="4">
        <f t="shared" si="12"/>
        <v>560</v>
      </c>
      <c r="R6" s="4">
        <f t="shared" si="13"/>
        <v>155</v>
      </c>
      <c r="S6" s="4">
        <f t="shared" si="14"/>
        <v>360</v>
      </c>
    </row>
    <row r="7" spans="1:19" ht="15.6" x14ac:dyDescent="0.3">
      <c r="A7" s="17" t="s">
        <v>6</v>
      </c>
      <c r="B7" s="15">
        <v>560</v>
      </c>
      <c r="C7" s="15">
        <v>360</v>
      </c>
      <c r="D7" s="14">
        <v>205</v>
      </c>
      <c r="E7" s="4">
        <f t="shared" si="0"/>
        <v>360</v>
      </c>
      <c r="F7" s="4">
        <f t="shared" si="1"/>
        <v>560</v>
      </c>
      <c r="G7" s="4">
        <f t="shared" si="2"/>
        <v>205</v>
      </c>
      <c r="H7" s="4">
        <f t="shared" si="3"/>
        <v>205</v>
      </c>
      <c r="I7" s="4">
        <f t="shared" si="4"/>
        <v>560</v>
      </c>
      <c r="J7" s="4">
        <f t="shared" si="5"/>
        <v>360</v>
      </c>
      <c r="K7" s="4">
        <f t="shared" si="6"/>
        <v>205</v>
      </c>
      <c r="L7" s="4">
        <f t="shared" si="7"/>
        <v>360</v>
      </c>
      <c r="M7" s="4">
        <f t="shared" si="8"/>
        <v>560</v>
      </c>
      <c r="N7" s="4">
        <f t="shared" si="9"/>
        <v>360</v>
      </c>
      <c r="O7" s="4">
        <f t="shared" si="10"/>
        <v>205</v>
      </c>
      <c r="P7" s="4">
        <f t="shared" si="11"/>
        <v>560</v>
      </c>
      <c r="Q7" s="4">
        <f t="shared" si="12"/>
        <v>560</v>
      </c>
      <c r="R7" s="4">
        <f t="shared" si="13"/>
        <v>205</v>
      </c>
      <c r="S7" s="4">
        <f t="shared" si="14"/>
        <v>360</v>
      </c>
    </row>
    <row r="8" spans="1:19" ht="15.6" x14ac:dyDescent="0.3">
      <c r="A8" s="17" t="s">
        <v>7</v>
      </c>
      <c r="B8" s="15">
        <v>360</v>
      </c>
      <c r="C8" s="15">
        <v>260</v>
      </c>
      <c r="D8" s="14">
        <v>105</v>
      </c>
      <c r="E8" s="4">
        <f t="shared" si="0"/>
        <v>260</v>
      </c>
      <c r="F8" s="4">
        <f t="shared" si="1"/>
        <v>360</v>
      </c>
      <c r="G8" s="4">
        <f t="shared" si="2"/>
        <v>105</v>
      </c>
      <c r="H8" s="4">
        <f t="shared" si="3"/>
        <v>105</v>
      </c>
      <c r="I8" s="4">
        <f t="shared" si="4"/>
        <v>360</v>
      </c>
      <c r="J8" s="4">
        <f t="shared" si="5"/>
        <v>260</v>
      </c>
      <c r="K8" s="4">
        <f t="shared" si="6"/>
        <v>105</v>
      </c>
      <c r="L8" s="4">
        <f t="shared" si="7"/>
        <v>260</v>
      </c>
      <c r="M8" s="4">
        <f t="shared" si="8"/>
        <v>360</v>
      </c>
      <c r="N8" s="4">
        <f t="shared" si="9"/>
        <v>260</v>
      </c>
      <c r="O8" s="4">
        <f t="shared" si="10"/>
        <v>105</v>
      </c>
      <c r="P8" s="4">
        <f t="shared" si="11"/>
        <v>360</v>
      </c>
      <c r="Q8" s="4">
        <f t="shared" si="12"/>
        <v>360</v>
      </c>
      <c r="R8" s="4">
        <f t="shared" si="13"/>
        <v>105</v>
      </c>
      <c r="S8" s="4">
        <f t="shared" si="14"/>
        <v>260</v>
      </c>
    </row>
    <row r="9" spans="1:19" ht="15.6" x14ac:dyDescent="0.3">
      <c r="A9" s="17" t="s">
        <v>8</v>
      </c>
      <c r="B9" s="15">
        <v>360</v>
      </c>
      <c r="C9" s="15">
        <v>260</v>
      </c>
      <c r="D9" s="14">
        <v>155</v>
      </c>
      <c r="E9" s="4">
        <f t="shared" si="0"/>
        <v>260</v>
      </c>
      <c r="F9" s="4">
        <f t="shared" si="1"/>
        <v>360</v>
      </c>
      <c r="G9" s="4">
        <f t="shared" si="2"/>
        <v>155</v>
      </c>
      <c r="H9" s="4">
        <f t="shared" si="3"/>
        <v>155</v>
      </c>
      <c r="I9" s="4">
        <f t="shared" si="4"/>
        <v>360</v>
      </c>
      <c r="J9" s="4">
        <f t="shared" si="5"/>
        <v>260</v>
      </c>
      <c r="K9" s="4">
        <f t="shared" si="6"/>
        <v>155</v>
      </c>
      <c r="L9" s="4">
        <f t="shared" si="7"/>
        <v>260</v>
      </c>
      <c r="M9" s="4">
        <f t="shared" si="8"/>
        <v>360</v>
      </c>
      <c r="N9" s="4">
        <f t="shared" si="9"/>
        <v>260</v>
      </c>
      <c r="O9" s="4">
        <f t="shared" si="10"/>
        <v>155</v>
      </c>
      <c r="P9" s="4">
        <f t="shared" si="11"/>
        <v>360</v>
      </c>
      <c r="Q9" s="4">
        <f t="shared" si="12"/>
        <v>360</v>
      </c>
      <c r="R9" s="4">
        <f t="shared" si="13"/>
        <v>155</v>
      </c>
      <c r="S9" s="4">
        <f t="shared" si="14"/>
        <v>260</v>
      </c>
    </row>
    <row r="10" spans="1:19" ht="15.6" x14ac:dyDescent="0.3">
      <c r="A10" s="17" t="s">
        <v>9</v>
      </c>
      <c r="B10" s="15">
        <v>360</v>
      </c>
      <c r="C10" s="15">
        <v>260</v>
      </c>
      <c r="D10" s="14">
        <v>205</v>
      </c>
      <c r="E10" s="4">
        <f t="shared" si="0"/>
        <v>260</v>
      </c>
      <c r="F10" s="4">
        <f t="shared" si="1"/>
        <v>360</v>
      </c>
      <c r="G10" s="4">
        <f t="shared" si="2"/>
        <v>205</v>
      </c>
      <c r="H10" s="4">
        <f t="shared" si="3"/>
        <v>205</v>
      </c>
      <c r="I10" s="4">
        <f t="shared" si="4"/>
        <v>360</v>
      </c>
      <c r="J10" s="4">
        <f t="shared" si="5"/>
        <v>260</v>
      </c>
      <c r="K10" s="4">
        <f t="shared" si="6"/>
        <v>205</v>
      </c>
      <c r="L10" s="4">
        <f t="shared" si="7"/>
        <v>260</v>
      </c>
      <c r="M10" s="4">
        <f t="shared" si="8"/>
        <v>360</v>
      </c>
      <c r="N10" s="4">
        <f t="shared" si="9"/>
        <v>260</v>
      </c>
      <c r="O10" s="4">
        <f t="shared" si="10"/>
        <v>205</v>
      </c>
      <c r="P10" s="4">
        <f t="shared" si="11"/>
        <v>360</v>
      </c>
      <c r="Q10" s="4">
        <f t="shared" si="12"/>
        <v>360</v>
      </c>
      <c r="R10" s="4">
        <f t="shared" si="13"/>
        <v>205</v>
      </c>
      <c r="S10" s="4">
        <f t="shared" si="14"/>
        <v>260</v>
      </c>
    </row>
    <row r="11" spans="1:19" x14ac:dyDescent="0.3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x14ac:dyDescent="0.3"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A850-FF36-4CAC-9978-B948D8832180}">
  <dimension ref="A1:BN236"/>
  <sheetViews>
    <sheetView topLeftCell="J1" workbookViewId="0">
      <selection activeCell="T16" sqref="T16"/>
    </sheetView>
  </sheetViews>
  <sheetFormatPr defaultColWidth="9.21875" defaultRowHeight="14.4" x14ac:dyDescent="0.3"/>
  <cols>
    <col min="1" max="1" width="2" style="5" bestFit="1" customWidth="1"/>
    <col min="2" max="2" width="5.33203125" style="6" customWidth="1"/>
    <col min="3" max="3" width="10.109375" style="7" bestFit="1" customWidth="1"/>
    <col min="4" max="4" width="39.109375" style="7" bestFit="1" customWidth="1"/>
    <col min="5" max="7" width="7.88671875" style="6" customWidth="1"/>
    <col min="8" max="8" width="7.33203125" style="5" customWidth="1"/>
    <col min="9" max="9" width="7.6640625" style="5" bestFit="1" customWidth="1"/>
    <col min="10" max="10" width="7.6640625" style="5" customWidth="1"/>
    <col min="11" max="11" width="9" style="5" customWidth="1"/>
    <col min="12" max="12" width="23.5546875" style="5" bestFit="1" customWidth="1"/>
    <col min="13" max="15" width="8.5546875" style="5" bestFit="1" customWidth="1"/>
    <col min="16" max="18" width="7.109375" style="5" customWidth="1"/>
    <col min="19" max="19" width="7.21875" style="5" bestFit="1" customWidth="1"/>
    <col min="20" max="20" width="8.33203125" style="5" bestFit="1" customWidth="1"/>
    <col min="21" max="21" width="7.21875" style="5" bestFit="1" customWidth="1"/>
    <col min="22" max="24" width="9.21875" style="5"/>
    <col min="25" max="27" width="7.109375" style="5" customWidth="1"/>
    <col min="28" max="28" width="7.21875" style="5" bestFit="1" customWidth="1"/>
    <col min="29" max="29" width="8.33203125" style="5" bestFit="1" customWidth="1"/>
    <col min="30" max="30" width="7.21875" style="5" bestFit="1" customWidth="1"/>
    <col min="31" max="33" width="9.21875" style="5"/>
    <col min="34" max="36" width="7.109375" style="5" customWidth="1"/>
    <col min="37" max="37" width="7.21875" style="5" bestFit="1" customWidth="1"/>
    <col min="38" max="38" width="8.33203125" style="5" bestFit="1" customWidth="1"/>
    <col min="39" max="39" width="7.21875" style="5" bestFit="1" customWidth="1"/>
    <col min="40" max="42" width="9.21875" style="5"/>
    <col min="43" max="45" width="7.109375" style="5" customWidth="1"/>
    <col min="46" max="46" width="7.21875" style="5" bestFit="1" customWidth="1"/>
    <col min="47" max="47" width="8.33203125" style="5" bestFit="1" customWidth="1"/>
    <col min="48" max="48" width="7.21875" style="5" bestFit="1" customWidth="1"/>
    <col min="49" max="51" width="9.21875" style="5"/>
    <col min="52" max="54" width="7.109375" style="5" customWidth="1"/>
    <col min="55" max="55" width="7.21875" style="5" bestFit="1" customWidth="1"/>
    <col min="56" max="56" width="8.33203125" style="5" bestFit="1" customWidth="1"/>
    <col min="57" max="57" width="7.21875" style="5" bestFit="1" customWidth="1"/>
    <col min="58" max="60" width="9.21875" style="5"/>
    <col min="61" max="63" width="7.109375" style="5" customWidth="1"/>
    <col min="64" max="64" width="7.21875" style="5" bestFit="1" customWidth="1"/>
    <col min="65" max="65" width="8.33203125" style="5" bestFit="1" customWidth="1"/>
    <col min="66" max="66" width="7.21875" style="5" bestFit="1" customWidth="1"/>
    <col min="67" max="16384" width="9.21875" style="5"/>
  </cols>
  <sheetData>
    <row r="1" spans="1:66" s="10" customFormat="1" ht="62.4" x14ac:dyDescent="0.3">
      <c r="A1" s="10" t="str">
        <f>IF(B1="","","1")</f>
        <v>1</v>
      </c>
      <c r="B1" s="8" t="s">
        <v>10</v>
      </c>
      <c r="C1" s="9" t="s">
        <v>11</v>
      </c>
      <c r="D1" s="9" t="s">
        <v>12</v>
      </c>
      <c r="E1" s="8" t="s">
        <v>23</v>
      </c>
      <c r="F1" s="8" t="s">
        <v>24</v>
      </c>
      <c r="G1" s="8" t="s">
        <v>25</v>
      </c>
      <c r="H1" s="8" t="s">
        <v>26</v>
      </c>
      <c r="I1" s="8" t="s">
        <v>28</v>
      </c>
      <c r="J1" s="8" t="s">
        <v>29</v>
      </c>
      <c r="K1" s="8" t="s">
        <v>27</v>
      </c>
      <c r="L1" s="86" t="s">
        <v>36</v>
      </c>
      <c r="M1" s="87" t="s">
        <v>30</v>
      </c>
      <c r="N1" s="87" t="s">
        <v>30</v>
      </c>
      <c r="O1" s="87" t="s">
        <v>30</v>
      </c>
      <c r="P1" s="88" t="s">
        <v>37</v>
      </c>
      <c r="Q1" s="88" t="s">
        <v>38</v>
      </c>
      <c r="R1" s="88" t="s">
        <v>39</v>
      </c>
      <c r="S1" s="88" t="s">
        <v>40</v>
      </c>
      <c r="T1" s="88" t="s">
        <v>41</v>
      </c>
      <c r="U1" s="88" t="s">
        <v>42</v>
      </c>
      <c r="V1" s="89" t="s">
        <v>31</v>
      </c>
      <c r="W1" s="89" t="s">
        <v>31</v>
      </c>
      <c r="X1" s="89" t="s">
        <v>31</v>
      </c>
      <c r="Y1" s="88" t="s">
        <v>43</v>
      </c>
      <c r="Z1" s="88" t="s">
        <v>44</v>
      </c>
      <c r="AA1" s="88" t="s">
        <v>45</v>
      </c>
      <c r="AB1" s="88" t="s">
        <v>46</v>
      </c>
      <c r="AC1" s="88" t="s">
        <v>47</v>
      </c>
      <c r="AD1" s="88" t="s">
        <v>48</v>
      </c>
      <c r="AE1" s="90" t="s">
        <v>32</v>
      </c>
      <c r="AF1" s="90" t="s">
        <v>32</v>
      </c>
      <c r="AG1" s="90" t="s">
        <v>32</v>
      </c>
      <c r="AH1" s="88" t="s">
        <v>49</v>
      </c>
      <c r="AI1" s="88" t="s">
        <v>50</v>
      </c>
      <c r="AJ1" s="88" t="s">
        <v>51</v>
      </c>
      <c r="AK1" s="88" t="s">
        <v>52</v>
      </c>
      <c r="AL1" s="88" t="s">
        <v>53</v>
      </c>
      <c r="AM1" s="88" t="s">
        <v>54</v>
      </c>
      <c r="AN1" s="91" t="s">
        <v>33</v>
      </c>
      <c r="AO1" s="91" t="s">
        <v>33</v>
      </c>
      <c r="AP1" s="91" t="s">
        <v>33</v>
      </c>
      <c r="AQ1" s="88" t="s">
        <v>55</v>
      </c>
      <c r="AR1" s="88" t="s">
        <v>56</v>
      </c>
      <c r="AS1" s="88" t="s">
        <v>57</v>
      </c>
      <c r="AT1" s="88" t="s">
        <v>58</v>
      </c>
      <c r="AU1" s="88" t="s">
        <v>59</v>
      </c>
      <c r="AV1" s="88" t="s">
        <v>60</v>
      </c>
      <c r="AW1" s="92" t="s">
        <v>34</v>
      </c>
      <c r="AX1" s="92" t="s">
        <v>34</v>
      </c>
      <c r="AY1" s="92" t="s">
        <v>34</v>
      </c>
      <c r="AZ1" s="88" t="s">
        <v>61</v>
      </c>
      <c r="BA1" s="88" t="s">
        <v>62</v>
      </c>
      <c r="BB1" s="88" t="s">
        <v>63</v>
      </c>
      <c r="BC1" s="88" t="s">
        <v>64</v>
      </c>
      <c r="BD1" s="88" t="s">
        <v>65</v>
      </c>
      <c r="BE1" s="88" t="s">
        <v>66</v>
      </c>
      <c r="BF1" s="93" t="s">
        <v>35</v>
      </c>
      <c r="BG1" s="93" t="s">
        <v>35</v>
      </c>
      <c r="BH1" s="93" t="s">
        <v>35</v>
      </c>
      <c r="BI1" s="88" t="s">
        <v>67</v>
      </c>
      <c r="BJ1" s="88" t="s">
        <v>68</v>
      </c>
      <c r="BK1" s="88" t="s">
        <v>69</v>
      </c>
      <c r="BL1" s="88" t="s">
        <v>70</v>
      </c>
      <c r="BM1" s="88" t="s">
        <v>71</v>
      </c>
      <c r="BN1" s="88" t="s">
        <v>72</v>
      </c>
    </row>
    <row r="2" spans="1:66" x14ac:dyDescent="0.3">
      <c r="A2" s="5" t="str">
        <f>IF(B2="","","1")</f>
        <v>1</v>
      </c>
      <c r="B2" s="6">
        <v>1</v>
      </c>
      <c r="C2" s="7">
        <v>14007834</v>
      </c>
      <c r="D2" s="7" t="s">
        <v>13</v>
      </c>
      <c r="E2" s="6">
        <v>274</v>
      </c>
      <c r="F2" s="6">
        <v>76</v>
      </c>
      <c r="G2" s="6">
        <v>620</v>
      </c>
      <c r="H2" s="6">
        <v>44</v>
      </c>
      <c r="I2" s="6">
        <v>1</v>
      </c>
      <c r="J2" s="6">
        <f>H2*I2</f>
        <v>44</v>
      </c>
      <c r="K2" s="6">
        <v>80</v>
      </c>
      <c r="L2" s="5" t="str">
        <f>EQP!A2</f>
        <v>FLC ( 1200 x 1000 x 800) mm</v>
      </c>
      <c r="M2" s="21">
        <f>VLOOKUP($L2,EQP!$A$2:$S$10,2,0)</f>
        <v>1120</v>
      </c>
      <c r="N2" s="21">
        <f>VLOOKUP($L2,EQP!$A$2:$S$10,3,0)</f>
        <v>920</v>
      </c>
      <c r="O2" s="21">
        <f>VLOOKUP($L2,EQP!$A$2:$S$10,4,0)</f>
        <v>640</v>
      </c>
      <c r="P2" s="21">
        <f t="shared" ref="P2:P11" si="0">ROUNDDOWN($M2/($E2+5),0)</f>
        <v>4</v>
      </c>
      <c r="Q2" s="21">
        <f t="shared" ref="Q2:Q11" si="1">ROUNDDOWN($N2/($F2+5),0)</f>
        <v>11</v>
      </c>
      <c r="R2" s="21">
        <f t="shared" ref="R2:R11" si="2">ROUNDDOWN($O2/($G2+5),0)</f>
        <v>1</v>
      </c>
      <c r="S2" s="21">
        <f>$P2*$Q2</f>
        <v>44</v>
      </c>
      <c r="T2" s="21">
        <f>R2</f>
        <v>1</v>
      </c>
      <c r="U2" s="21">
        <f>S2*T2</f>
        <v>44</v>
      </c>
      <c r="V2" s="21">
        <f>VLOOKUP($L2,EQP!$A$2:$S$10,5,0)</f>
        <v>920</v>
      </c>
      <c r="W2" s="21">
        <f>VLOOKUP($L2,EQP!$A$2:$S$10,6,0)</f>
        <v>1120</v>
      </c>
      <c r="X2" s="21">
        <f>VLOOKUP($L2,EQP!$A$2:$S$10,7,0)</f>
        <v>640</v>
      </c>
      <c r="Y2" s="21">
        <f t="shared" ref="Y2:Y11" si="3">ROUNDDOWN($N2/($E2+5),0)</f>
        <v>3</v>
      </c>
      <c r="Z2" s="21">
        <f t="shared" ref="Z2:Z11" si="4">ROUNDDOWN($W2/($F2+5),0)</f>
        <v>13</v>
      </c>
      <c r="AA2" s="21">
        <f t="shared" ref="AA2:AA11" si="5">ROUNDDOWN($X2/($G2+5),0)</f>
        <v>1</v>
      </c>
      <c r="AB2" s="21">
        <f>Y2*Z2</f>
        <v>39</v>
      </c>
      <c r="AC2" s="21">
        <f>AA2</f>
        <v>1</v>
      </c>
      <c r="AD2" s="21">
        <f>AB2*AC2</f>
        <v>39</v>
      </c>
      <c r="AE2" s="21">
        <f>VLOOKUP($L2,EQP!$A$2:$S$10,8,0)</f>
        <v>640</v>
      </c>
      <c r="AF2" s="21">
        <f>VLOOKUP($L2,EQP!$A$2:$S$10,9,0)</f>
        <v>1120</v>
      </c>
      <c r="AG2" s="21">
        <f>VLOOKUP($L2,EQP!$A$2:$S$10,10,0)</f>
        <v>920</v>
      </c>
      <c r="AH2" s="21">
        <f t="shared" ref="AH2:AH11" si="6">ROUNDDOWN($AE2/($E2+5),0)</f>
        <v>2</v>
      </c>
      <c r="AI2" s="21">
        <f t="shared" ref="AI2:AI11" si="7">ROUNDDOWN($AF2/($F2+5),0)</f>
        <v>13</v>
      </c>
      <c r="AJ2" s="21">
        <f t="shared" ref="AJ2:AJ11" si="8">ROUNDDOWN($AG2/($G2+5),0)</f>
        <v>1</v>
      </c>
      <c r="AK2" s="21">
        <f>AH2*AI2</f>
        <v>26</v>
      </c>
      <c r="AL2" s="21">
        <f>AJ2</f>
        <v>1</v>
      </c>
      <c r="AM2" s="21">
        <f>AK2*AL2</f>
        <v>26</v>
      </c>
      <c r="AN2" s="21">
        <f>VLOOKUP($L2,EQP!$A$2:$S$10,11,0)</f>
        <v>640</v>
      </c>
      <c r="AO2" s="21">
        <f>VLOOKUP($L2,EQP!$A$2:$S$10,12,0)</f>
        <v>920</v>
      </c>
      <c r="AP2" s="21">
        <f>VLOOKUP($L2,EQP!$A$2:$S$10,13,0)</f>
        <v>1120</v>
      </c>
      <c r="AQ2" s="21">
        <f t="shared" ref="AQ2:AQ11" si="9">ROUNDDOWN($AN2/($E2+5),0)</f>
        <v>2</v>
      </c>
      <c r="AR2" s="21">
        <f t="shared" ref="AR2:AR11" si="10">ROUNDDOWN($AO2/($F2+5),0)</f>
        <v>11</v>
      </c>
      <c r="AS2" s="21">
        <f t="shared" ref="AS2:AS11" si="11">ROUNDDOWN($AP2/($G2+5),0)</f>
        <v>1</v>
      </c>
      <c r="AT2" s="21">
        <f>AQ2*AR2</f>
        <v>22</v>
      </c>
      <c r="AU2" s="21">
        <f>AS2</f>
        <v>1</v>
      </c>
      <c r="AV2" s="21">
        <f>AT2*AU2</f>
        <v>22</v>
      </c>
      <c r="AW2" s="21">
        <f>VLOOKUP($L2,EQP!$A$2:$S$10,14,0)</f>
        <v>920</v>
      </c>
      <c r="AX2" s="21">
        <f>VLOOKUP($L2,EQP!$A$2:$S$10,15,0)</f>
        <v>640</v>
      </c>
      <c r="AY2" s="21">
        <f>VLOOKUP($L2,EQP!$A$2:$S$10,16,0)</f>
        <v>1120</v>
      </c>
      <c r="AZ2" s="21">
        <f t="shared" ref="AZ2:AZ11" si="12">ROUNDDOWN($AW2/($E2+5),0)</f>
        <v>3</v>
      </c>
      <c r="BA2" s="21">
        <f t="shared" ref="BA2:BA11" si="13">ROUNDDOWN($AX2/($F2+5),0)</f>
        <v>7</v>
      </c>
      <c r="BB2" s="21">
        <f t="shared" ref="BB2:BB11" si="14">ROUNDDOWN($AY2/($G2+5),0)</f>
        <v>1</v>
      </c>
      <c r="BC2" s="21">
        <f>AZ2*BA2</f>
        <v>21</v>
      </c>
      <c r="BD2" s="21">
        <f>BB2</f>
        <v>1</v>
      </c>
      <c r="BE2" s="21">
        <f>BC2*BD2</f>
        <v>21</v>
      </c>
      <c r="BF2" s="21">
        <f>VLOOKUP($L2,EQP!$A$2:$S$10,17,0)</f>
        <v>1120</v>
      </c>
      <c r="BG2" s="21">
        <f>VLOOKUP($L2,EQP!$A$2:$S$10,18,0)</f>
        <v>640</v>
      </c>
      <c r="BH2" s="21">
        <f>VLOOKUP($L2,EQP!$A$2:$S$10,19,0)</f>
        <v>920</v>
      </c>
      <c r="BI2" s="21">
        <f t="shared" ref="BI2:BI11" si="15">ROUNDDOWN($BF2/($E2+5),0)</f>
        <v>4</v>
      </c>
      <c r="BJ2" s="21">
        <f t="shared" ref="BJ2:BJ11" si="16">ROUNDDOWN($BG2/($F2+5),0)</f>
        <v>7</v>
      </c>
      <c r="BK2" s="21">
        <f t="shared" ref="BK2:BK11" si="17">ROUNDDOWN($BH2/($G2+5),0)</f>
        <v>1</v>
      </c>
      <c r="BL2" s="21">
        <f>BI2*BJ2</f>
        <v>28</v>
      </c>
      <c r="BM2" s="21">
        <f>BK2</f>
        <v>1</v>
      </c>
      <c r="BN2" s="21">
        <f>BL2*BM2</f>
        <v>28</v>
      </c>
    </row>
    <row r="3" spans="1:66" x14ac:dyDescent="0.3">
      <c r="A3" s="5" t="str">
        <f t="shared" ref="A3:A66" si="18">IF(B3="","","1")</f>
        <v>1</v>
      </c>
      <c r="B3" s="6">
        <v>2</v>
      </c>
      <c r="C3" s="7">
        <v>14007835</v>
      </c>
      <c r="D3" s="7" t="s">
        <v>14</v>
      </c>
      <c r="E3" s="6">
        <v>225</v>
      </c>
      <c r="F3" s="6">
        <v>125</v>
      </c>
      <c r="G3" s="6">
        <v>190</v>
      </c>
      <c r="H3" s="6">
        <v>96</v>
      </c>
      <c r="I3" s="6">
        <v>2</v>
      </c>
      <c r="J3" s="6">
        <f t="shared" ref="J3:J11" si="19">H3*I3</f>
        <v>192</v>
      </c>
      <c r="K3" s="6">
        <v>18</v>
      </c>
      <c r="L3" s="5" t="str">
        <f>L2</f>
        <v>FLC ( 1200 x 1000 x 800) mm</v>
      </c>
      <c r="M3" s="21">
        <f>VLOOKUP($L3,EQP!$A$2:$S$10,2,0)</f>
        <v>1120</v>
      </c>
      <c r="N3" s="21">
        <f>VLOOKUP($L3,EQP!$A$2:$S$10,3,0)</f>
        <v>920</v>
      </c>
      <c r="O3" s="21">
        <f>VLOOKUP($L3,EQP!$A$2:$S$10,4,0)</f>
        <v>640</v>
      </c>
      <c r="P3" s="21">
        <f t="shared" si="0"/>
        <v>4</v>
      </c>
      <c r="Q3" s="21">
        <f t="shared" si="1"/>
        <v>7</v>
      </c>
      <c r="R3" s="21">
        <f t="shared" si="2"/>
        <v>3</v>
      </c>
      <c r="S3" s="21">
        <f t="shared" ref="S3:S11" si="20">$P3*$Q3</f>
        <v>28</v>
      </c>
      <c r="T3" s="21">
        <f t="shared" ref="T3:T11" si="21">R3</f>
        <v>3</v>
      </c>
      <c r="U3" s="21">
        <f t="shared" ref="U3:U11" si="22">S3*T3</f>
        <v>84</v>
      </c>
      <c r="V3" s="21">
        <f>VLOOKUP($L3,EQP!$A$2:$S$10,5,0)</f>
        <v>920</v>
      </c>
      <c r="W3" s="21">
        <f>VLOOKUP($L3,EQP!$A$2:$S$10,6,0)</f>
        <v>1120</v>
      </c>
      <c r="X3" s="21">
        <f>VLOOKUP($L3,EQP!$A$2:$S$10,7,0)</f>
        <v>640</v>
      </c>
      <c r="Y3" s="21">
        <f t="shared" si="3"/>
        <v>4</v>
      </c>
      <c r="Z3" s="21">
        <f t="shared" si="4"/>
        <v>8</v>
      </c>
      <c r="AA3" s="21">
        <f t="shared" si="5"/>
        <v>3</v>
      </c>
      <c r="AB3" s="21">
        <f t="shared" ref="AB3:AB11" si="23">Y3*Z3</f>
        <v>32</v>
      </c>
      <c r="AC3" s="21">
        <f t="shared" ref="AC3:AC11" si="24">AA3</f>
        <v>3</v>
      </c>
      <c r="AD3" s="21">
        <f t="shared" ref="AD3:AD11" si="25">AB3*AC3</f>
        <v>96</v>
      </c>
      <c r="AE3" s="21">
        <f>VLOOKUP($L3,EQP!$A$2:$S$10,8,0)</f>
        <v>640</v>
      </c>
      <c r="AF3" s="21">
        <f>VLOOKUP($L3,EQP!$A$2:$S$10,9,0)</f>
        <v>1120</v>
      </c>
      <c r="AG3" s="21">
        <f>VLOOKUP($L3,EQP!$A$2:$S$10,10,0)</f>
        <v>920</v>
      </c>
      <c r="AH3" s="21">
        <f t="shared" si="6"/>
        <v>2</v>
      </c>
      <c r="AI3" s="21">
        <f t="shared" si="7"/>
        <v>8</v>
      </c>
      <c r="AJ3" s="21">
        <f t="shared" si="8"/>
        <v>4</v>
      </c>
      <c r="AK3" s="21">
        <f t="shared" ref="AK3:AK11" si="26">AH3*AI3</f>
        <v>16</v>
      </c>
      <c r="AL3" s="21">
        <f t="shared" ref="AL3:AL11" si="27">AJ3</f>
        <v>4</v>
      </c>
      <c r="AM3" s="21">
        <f t="shared" ref="AM3:AM11" si="28">AK3*AL3</f>
        <v>64</v>
      </c>
      <c r="AN3" s="21">
        <f>VLOOKUP($L3,EQP!$A$2:$S$10,11,0)</f>
        <v>640</v>
      </c>
      <c r="AO3" s="21">
        <f>VLOOKUP($L3,EQP!$A$2:$S$10,12,0)</f>
        <v>920</v>
      </c>
      <c r="AP3" s="21">
        <f>VLOOKUP($L3,EQP!$A$2:$S$10,13,0)</f>
        <v>1120</v>
      </c>
      <c r="AQ3" s="21">
        <f t="shared" si="9"/>
        <v>2</v>
      </c>
      <c r="AR3" s="21">
        <f t="shared" si="10"/>
        <v>7</v>
      </c>
      <c r="AS3" s="21">
        <f t="shared" si="11"/>
        <v>5</v>
      </c>
      <c r="AT3" s="21">
        <f t="shared" ref="AT3:AT11" si="29">AQ3*AR3</f>
        <v>14</v>
      </c>
      <c r="AU3" s="21">
        <f t="shared" ref="AU3:AU11" si="30">AS3</f>
        <v>5</v>
      </c>
      <c r="AV3" s="21">
        <f t="shared" ref="AV3:AV11" si="31">AT3*AU3</f>
        <v>70</v>
      </c>
      <c r="AW3" s="21">
        <f>VLOOKUP($L3,EQP!$A$2:$S$10,14,0)</f>
        <v>920</v>
      </c>
      <c r="AX3" s="21">
        <f>VLOOKUP($L3,EQP!$A$2:$S$10,15,0)</f>
        <v>640</v>
      </c>
      <c r="AY3" s="21">
        <f>VLOOKUP($L3,EQP!$A$2:$S$10,16,0)</f>
        <v>1120</v>
      </c>
      <c r="AZ3" s="21">
        <f t="shared" si="12"/>
        <v>4</v>
      </c>
      <c r="BA3" s="21">
        <f t="shared" si="13"/>
        <v>4</v>
      </c>
      <c r="BB3" s="21">
        <f t="shared" si="14"/>
        <v>5</v>
      </c>
      <c r="BC3" s="21">
        <f t="shared" ref="BC3:BC11" si="32">AZ3*BA3</f>
        <v>16</v>
      </c>
      <c r="BD3" s="21">
        <f t="shared" ref="BD3:BD11" si="33">BB3</f>
        <v>5</v>
      </c>
      <c r="BE3" s="21">
        <f t="shared" ref="BE3:BE11" si="34">BC3*BD3</f>
        <v>80</v>
      </c>
      <c r="BF3" s="21">
        <f>VLOOKUP($L3,EQP!$A$2:$S$10,17,0)</f>
        <v>1120</v>
      </c>
      <c r="BG3" s="21">
        <f>VLOOKUP($L3,EQP!$A$2:$S$10,18,0)</f>
        <v>640</v>
      </c>
      <c r="BH3" s="21">
        <f>VLOOKUP($L3,EQP!$A$2:$S$10,19,0)</f>
        <v>920</v>
      </c>
      <c r="BI3" s="21">
        <f t="shared" si="15"/>
        <v>4</v>
      </c>
      <c r="BJ3" s="21">
        <f t="shared" si="16"/>
        <v>4</v>
      </c>
      <c r="BK3" s="21">
        <f t="shared" si="17"/>
        <v>4</v>
      </c>
      <c r="BL3" s="21">
        <f t="shared" ref="BL3:BL11" si="35">BI3*BJ3</f>
        <v>16</v>
      </c>
      <c r="BM3" s="21">
        <f t="shared" ref="BM3:BM11" si="36">BK3</f>
        <v>4</v>
      </c>
      <c r="BN3" s="21">
        <f t="shared" ref="BN3:BN11" si="37">BL3*BM3</f>
        <v>64</v>
      </c>
    </row>
    <row r="4" spans="1:66" x14ac:dyDescent="0.3">
      <c r="A4" s="5" t="str">
        <f t="shared" si="18"/>
        <v>1</v>
      </c>
      <c r="B4" s="6">
        <v>3</v>
      </c>
      <c r="C4" s="7">
        <v>14007836</v>
      </c>
      <c r="D4" s="7" t="s">
        <v>15</v>
      </c>
      <c r="E4" s="6">
        <v>435</v>
      </c>
      <c r="F4" s="6">
        <v>100</v>
      </c>
      <c r="G4" s="6">
        <v>210</v>
      </c>
      <c r="H4" s="6">
        <v>48</v>
      </c>
      <c r="I4" s="6">
        <v>1</v>
      </c>
      <c r="J4" s="6">
        <f t="shared" si="19"/>
        <v>48</v>
      </c>
      <c r="K4" s="6">
        <v>75</v>
      </c>
      <c r="L4" s="5" t="str">
        <f t="shared" ref="L4:L11" si="38">L3</f>
        <v>FLC ( 1200 x 1000 x 800) mm</v>
      </c>
      <c r="M4" s="21">
        <f>VLOOKUP($L4,EQP!$A$2:$S$10,2,0)</f>
        <v>1120</v>
      </c>
      <c r="N4" s="21">
        <f>VLOOKUP($L4,EQP!$A$2:$S$10,3,0)</f>
        <v>920</v>
      </c>
      <c r="O4" s="21">
        <f>VLOOKUP($L4,EQP!$A$2:$S$10,4,0)</f>
        <v>640</v>
      </c>
      <c r="P4" s="21">
        <f t="shared" si="0"/>
        <v>2</v>
      </c>
      <c r="Q4" s="21">
        <f t="shared" si="1"/>
        <v>8</v>
      </c>
      <c r="R4" s="21">
        <f t="shared" si="2"/>
        <v>2</v>
      </c>
      <c r="S4" s="21">
        <f t="shared" si="20"/>
        <v>16</v>
      </c>
      <c r="T4" s="21">
        <f t="shared" si="21"/>
        <v>2</v>
      </c>
      <c r="U4" s="21">
        <f t="shared" si="22"/>
        <v>32</v>
      </c>
      <c r="V4" s="21">
        <f>VLOOKUP($L4,EQP!$A$2:$S$10,5,0)</f>
        <v>920</v>
      </c>
      <c r="W4" s="21">
        <f>VLOOKUP($L4,EQP!$A$2:$S$10,6,0)</f>
        <v>1120</v>
      </c>
      <c r="X4" s="21">
        <f>VLOOKUP($L4,EQP!$A$2:$S$10,7,0)</f>
        <v>640</v>
      </c>
      <c r="Y4" s="21">
        <f t="shared" si="3"/>
        <v>2</v>
      </c>
      <c r="Z4" s="21">
        <f t="shared" si="4"/>
        <v>10</v>
      </c>
      <c r="AA4" s="21">
        <f t="shared" si="5"/>
        <v>2</v>
      </c>
      <c r="AB4" s="21">
        <f t="shared" si="23"/>
        <v>20</v>
      </c>
      <c r="AC4" s="21">
        <f t="shared" si="24"/>
        <v>2</v>
      </c>
      <c r="AD4" s="21">
        <f t="shared" si="25"/>
        <v>40</v>
      </c>
      <c r="AE4" s="21">
        <f>VLOOKUP($L4,EQP!$A$2:$S$10,8,0)</f>
        <v>640</v>
      </c>
      <c r="AF4" s="21">
        <f>VLOOKUP($L4,EQP!$A$2:$S$10,9,0)</f>
        <v>1120</v>
      </c>
      <c r="AG4" s="21">
        <f>VLOOKUP($L4,EQP!$A$2:$S$10,10,0)</f>
        <v>920</v>
      </c>
      <c r="AH4" s="21">
        <f t="shared" si="6"/>
        <v>1</v>
      </c>
      <c r="AI4" s="21">
        <f t="shared" si="7"/>
        <v>10</v>
      </c>
      <c r="AJ4" s="21">
        <f t="shared" si="8"/>
        <v>4</v>
      </c>
      <c r="AK4" s="21">
        <f t="shared" si="26"/>
        <v>10</v>
      </c>
      <c r="AL4" s="21">
        <f t="shared" si="27"/>
        <v>4</v>
      </c>
      <c r="AM4" s="21">
        <f t="shared" si="28"/>
        <v>40</v>
      </c>
      <c r="AN4" s="21">
        <f>VLOOKUP($L4,EQP!$A$2:$S$10,11,0)</f>
        <v>640</v>
      </c>
      <c r="AO4" s="21">
        <f>VLOOKUP($L4,EQP!$A$2:$S$10,12,0)</f>
        <v>920</v>
      </c>
      <c r="AP4" s="21">
        <f>VLOOKUP($L4,EQP!$A$2:$S$10,13,0)</f>
        <v>1120</v>
      </c>
      <c r="AQ4" s="21">
        <f t="shared" si="9"/>
        <v>1</v>
      </c>
      <c r="AR4" s="21">
        <f t="shared" si="10"/>
        <v>8</v>
      </c>
      <c r="AS4" s="21">
        <f t="shared" si="11"/>
        <v>5</v>
      </c>
      <c r="AT4" s="21">
        <f t="shared" si="29"/>
        <v>8</v>
      </c>
      <c r="AU4" s="21">
        <f t="shared" si="30"/>
        <v>5</v>
      </c>
      <c r="AV4" s="21">
        <f t="shared" si="31"/>
        <v>40</v>
      </c>
      <c r="AW4" s="21">
        <f>VLOOKUP($L4,EQP!$A$2:$S$10,14,0)</f>
        <v>920</v>
      </c>
      <c r="AX4" s="21">
        <f>VLOOKUP($L4,EQP!$A$2:$S$10,15,0)</f>
        <v>640</v>
      </c>
      <c r="AY4" s="21">
        <f>VLOOKUP($L4,EQP!$A$2:$S$10,16,0)</f>
        <v>1120</v>
      </c>
      <c r="AZ4" s="21">
        <f t="shared" si="12"/>
        <v>2</v>
      </c>
      <c r="BA4" s="21">
        <f t="shared" si="13"/>
        <v>6</v>
      </c>
      <c r="BB4" s="21">
        <f t="shared" si="14"/>
        <v>5</v>
      </c>
      <c r="BC4" s="21">
        <f t="shared" si="32"/>
        <v>12</v>
      </c>
      <c r="BD4" s="21">
        <f t="shared" si="33"/>
        <v>5</v>
      </c>
      <c r="BE4" s="21">
        <f t="shared" si="34"/>
        <v>60</v>
      </c>
      <c r="BF4" s="21">
        <f>VLOOKUP($L4,EQP!$A$2:$S$10,17,0)</f>
        <v>1120</v>
      </c>
      <c r="BG4" s="21">
        <f>VLOOKUP($L4,EQP!$A$2:$S$10,18,0)</f>
        <v>640</v>
      </c>
      <c r="BH4" s="21">
        <f>VLOOKUP($L4,EQP!$A$2:$S$10,19,0)</f>
        <v>920</v>
      </c>
      <c r="BI4" s="21">
        <f t="shared" si="15"/>
        <v>2</v>
      </c>
      <c r="BJ4" s="21">
        <f t="shared" si="16"/>
        <v>6</v>
      </c>
      <c r="BK4" s="21">
        <f t="shared" si="17"/>
        <v>4</v>
      </c>
      <c r="BL4" s="21">
        <f t="shared" si="35"/>
        <v>12</v>
      </c>
      <c r="BM4" s="21">
        <f t="shared" si="36"/>
        <v>4</v>
      </c>
      <c r="BN4" s="21">
        <f t="shared" si="37"/>
        <v>48</v>
      </c>
    </row>
    <row r="5" spans="1:66" x14ac:dyDescent="0.3">
      <c r="A5" s="5" t="str">
        <f t="shared" si="18"/>
        <v>1</v>
      </c>
      <c r="B5" s="6">
        <v>4</v>
      </c>
      <c r="C5" s="7">
        <v>14007837</v>
      </c>
      <c r="D5" s="7" t="s">
        <v>16</v>
      </c>
      <c r="E5" s="6">
        <v>365</v>
      </c>
      <c r="F5" s="6">
        <v>63</v>
      </c>
      <c r="G5" s="6">
        <v>225</v>
      </c>
      <c r="H5" s="6">
        <v>96</v>
      </c>
      <c r="I5" s="6">
        <v>1</v>
      </c>
      <c r="J5" s="6">
        <f t="shared" si="19"/>
        <v>96</v>
      </c>
      <c r="K5" s="6">
        <v>38</v>
      </c>
      <c r="L5" s="5" t="str">
        <f t="shared" si="38"/>
        <v>FLC ( 1200 x 1000 x 800) mm</v>
      </c>
      <c r="M5" s="21">
        <f>VLOOKUP($L5,EQP!$A$2:$S$10,2,0)</f>
        <v>1120</v>
      </c>
      <c r="N5" s="21">
        <f>VLOOKUP($L5,EQP!$A$2:$S$10,3,0)</f>
        <v>920</v>
      </c>
      <c r="O5" s="21">
        <f>VLOOKUP($L5,EQP!$A$2:$S$10,4,0)</f>
        <v>640</v>
      </c>
      <c r="P5" s="21">
        <f t="shared" si="0"/>
        <v>3</v>
      </c>
      <c r="Q5" s="21">
        <f t="shared" si="1"/>
        <v>13</v>
      </c>
      <c r="R5" s="21">
        <f t="shared" si="2"/>
        <v>2</v>
      </c>
      <c r="S5" s="21">
        <f t="shared" si="20"/>
        <v>39</v>
      </c>
      <c r="T5" s="21">
        <f t="shared" si="21"/>
        <v>2</v>
      </c>
      <c r="U5" s="21">
        <f t="shared" si="22"/>
        <v>78</v>
      </c>
      <c r="V5" s="21">
        <f>VLOOKUP($L5,EQP!$A$2:$S$10,5,0)</f>
        <v>920</v>
      </c>
      <c r="W5" s="21">
        <f>VLOOKUP($L5,EQP!$A$2:$S$10,6,0)</f>
        <v>1120</v>
      </c>
      <c r="X5" s="21">
        <f>VLOOKUP($L5,EQP!$A$2:$S$10,7,0)</f>
        <v>640</v>
      </c>
      <c r="Y5" s="21">
        <f t="shared" si="3"/>
        <v>2</v>
      </c>
      <c r="Z5" s="21">
        <f t="shared" si="4"/>
        <v>16</v>
      </c>
      <c r="AA5" s="21">
        <f t="shared" si="5"/>
        <v>2</v>
      </c>
      <c r="AB5" s="21">
        <f t="shared" si="23"/>
        <v>32</v>
      </c>
      <c r="AC5" s="21">
        <f t="shared" si="24"/>
        <v>2</v>
      </c>
      <c r="AD5" s="21">
        <f t="shared" si="25"/>
        <v>64</v>
      </c>
      <c r="AE5" s="21">
        <f>VLOOKUP($L5,EQP!$A$2:$S$10,8,0)</f>
        <v>640</v>
      </c>
      <c r="AF5" s="21">
        <f>VLOOKUP($L5,EQP!$A$2:$S$10,9,0)</f>
        <v>1120</v>
      </c>
      <c r="AG5" s="21">
        <f>VLOOKUP($L5,EQP!$A$2:$S$10,10,0)</f>
        <v>920</v>
      </c>
      <c r="AH5" s="21">
        <f t="shared" si="6"/>
        <v>1</v>
      </c>
      <c r="AI5" s="21">
        <f t="shared" si="7"/>
        <v>16</v>
      </c>
      <c r="AJ5" s="21">
        <f t="shared" si="8"/>
        <v>4</v>
      </c>
      <c r="AK5" s="21">
        <f t="shared" si="26"/>
        <v>16</v>
      </c>
      <c r="AL5" s="21">
        <f t="shared" si="27"/>
        <v>4</v>
      </c>
      <c r="AM5" s="21">
        <f t="shared" si="28"/>
        <v>64</v>
      </c>
      <c r="AN5" s="21">
        <f>VLOOKUP($L5,EQP!$A$2:$S$10,11,0)</f>
        <v>640</v>
      </c>
      <c r="AO5" s="21">
        <f>VLOOKUP($L5,EQP!$A$2:$S$10,12,0)</f>
        <v>920</v>
      </c>
      <c r="AP5" s="21">
        <f>VLOOKUP($L5,EQP!$A$2:$S$10,13,0)</f>
        <v>1120</v>
      </c>
      <c r="AQ5" s="21">
        <f t="shared" si="9"/>
        <v>1</v>
      </c>
      <c r="AR5" s="21">
        <f t="shared" si="10"/>
        <v>13</v>
      </c>
      <c r="AS5" s="21">
        <f t="shared" si="11"/>
        <v>4</v>
      </c>
      <c r="AT5" s="21">
        <f t="shared" si="29"/>
        <v>13</v>
      </c>
      <c r="AU5" s="21">
        <f t="shared" si="30"/>
        <v>4</v>
      </c>
      <c r="AV5" s="21">
        <f t="shared" si="31"/>
        <v>52</v>
      </c>
      <c r="AW5" s="21">
        <f>VLOOKUP($L5,EQP!$A$2:$S$10,14,0)</f>
        <v>920</v>
      </c>
      <c r="AX5" s="21">
        <f>VLOOKUP($L5,EQP!$A$2:$S$10,15,0)</f>
        <v>640</v>
      </c>
      <c r="AY5" s="21">
        <f>VLOOKUP($L5,EQP!$A$2:$S$10,16,0)</f>
        <v>1120</v>
      </c>
      <c r="AZ5" s="21">
        <f t="shared" si="12"/>
        <v>2</v>
      </c>
      <c r="BA5" s="21">
        <f t="shared" si="13"/>
        <v>9</v>
      </c>
      <c r="BB5" s="21">
        <f t="shared" si="14"/>
        <v>4</v>
      </c>
      <c r="BC5" s="21">
        <f t="shared" si="32"/>
        <v>18</v>
      </c>
      <c r="BD5" s="21">
        <f t="shared" si="33"/>
        <v>4</v>
      </c>
      <c r="BE5" s="21">
        <f t="shared" si="34"/>
        <v>72</v>
      </c>
      <c r="BF5" s="21">
        <f>VLOOKUP($L5,EQP!$A$2:$S$10,17,0)</f>
        <v>1120</v>
      </c>
      <c r="BG5" s="21">
        <f>VLOOKUP($L5,EQP!$A$2:$S$10,18,0)</f>
        <v>640</v>
      </c>
      <c r="BH5" s="21">
        <f>VLOOKUP($L5,EQP!$A$2:$S$10,19,0)</f>
        <v>920</v>
      </c>
      <c r="BI5" s="21">
        <f t="shared" si="15"/>
        <v>3</v>
      </c>
      <c r="BJ5" s="21">
        <f t="shared" si="16"/>
        <v>9</v>
      </c>
      <c r="BK5" s="21">
        <f t="shared" si="17"/>
        <v>4</v>
      </c>
      <c r="BL5" s="21">
        <f t="shared" si="35"/>
        <v>27</v>
      </c>
      <c r="BM5" s="21">
        <f t="shared" si="36"/>
        <v>4</v>
      </c>
      <c r="BN5" s="21">
        <f t="shared" si="37"/>
        <v>108</v>
      </c>
    </row>
    <row r="6" spans="1:66" x14ac:dyDescent="0.3">
      <c r="A6" s="5" t="str">
        <f t="shared" si="18"/>
        <v>1</v>
      </c>
      <c r="B6" s="6">
        <v>5</v>
      </c>
      <c r="C6" s="7">
        <v>14007838</v>
      </c>
      <c r="D6" s="7" t="s">
        <v>17</v>
      </c>
      <c r="E6" s="6">
        <v>410</v>
      </c>
      <c r="F6" s="6">
        <v>280</v>
      </c>
      <c r="G6" s="6">
        <v>160</v>
      </c>
      <c r="H6" s="6">
        <v>16</v>
      </c>
      <c r="I6" s="6">
        <v>1</v>
      </c>
      <c r="J6" s="6">
        <f t="shared" si="19"/>
        <v>16</v>
      </c>
      <c r="K6" s="6">
        <v>202</v>
      </c>
      <c r="L6" s="5" t="str">
        <f t="shared" si="38"/>
        <v>FLC ( 1200 x 1000 x 800) mm</v>
      </c>
      <c r="M6" s="21">
        <f>VLOOKUP($L6,EQP!$A$2:$S$10,2,0)</f>
        <v>1120</v>
      </c>
      <c r="N6" s="21">
        <f>VLOOKUP($L6,EQP!$A$2:$S$10,3,0)</f>
        <v>920</v>
      </c>
      <c r="O6" s="21">
        <f>VLOOKUP($L6,EQP!$A$2:$S$10,4,0)</f>
        <v>640</v>
      </c>
      <c r="P6" s="21">
        <f t="shared" si="0"/>
        <v>2</v>
      </c>
      <c r="Q6" s="21">
        <f t="shared" si="1"/>
        <v>3</v>
      </c>
      <c r="R6" s="21">
        <f t="shared" si="2"/>
        <v>3</v>
      </c>
      <c r="S6" s="21">
        <f t="shared" si="20"/>
        <v>6</v>
      </c>
      <c r="T6" s="21">
        <f t="shared" si="21"/>
        <v>3</v>
      </c>
      <c r="U6" s="21">
        <f t="shared" si="22"/>
        <v>18</v>
      </c>
      <c r="V6" s="21">
        <f>VLOOKUP($L6,EQP!$A$2:$S$10,5,0)</f>
        <v>920</v>
      </c>
      <c r="W6" s="21">
        <f>VLOOKUP($L6,EQP!$A$2:$S$10,6,0)</f>
        <v>1120</v>
      </c>
      <c r="X6" s="21">
        <f>VLOOKUP($L6,EQP!$A$2:$S$10,7,0)</f>
        <v>640</v>
      </c>
      <c r="Y6" s="21">
        <f t="shared" si="3"/>
        <v>2</v>
      </c>
      <c r="Z6" s="21">
        <f t="shared" si="4"/>
        <v>3</v>
      </c>
      <c r="AA6" s="21">
        <f t="shared" si="5"/>
        <v>3</v>
      </c>
      <c r="AB6" s="21">
        <f t="shared" si="23"/>
        <v>6</v>
      </c>
      <c r="AC6" s="21">
        <f t="shared" si="24"/>
        <v>3</v>
      </c>
      <c r="AD6" s="21">
        <f t="shared" si="25"/>
        <v>18</v>
      </c>
      <c r="AE6" s="21">
        <f>VLOOKUP($L6,EQP!$A$2:$S$10,8,0)</f>
        <v>640</v>
      </c>
      <c r="AF6" s="21">
        <f>VLOOKUP($L6,EQP!$A$2:$S$10,9,0)</f>
        <v>1120</v>
      </c>
      <c r="AG6" s="21">
        <f>VLOOKUP($L6,EQP!$A$2:$S$10,10,0)</f>
        <v>920</v>
      </c>
      <c r="AH6" s="21">
        <f t="shared" si="6"/>
        <v>1</v>
      </c>
      <c r="AI6" s="21">
        <f t="shared" si="7"/>
        <v>3</v>
      </c>
      <c r="AJ6" s="21">
        <f t="shared" si="8"/>
        <v>5</v>
      </c>
      <c r="AK6" s="21">
        <f t="shared" si="26"/>
        <v>3</v>
      </c>
      <c r="AL6" s="21">
        <f t="shared" si="27"/>
        <v>5</v>
      </c>
      <c r="AM6" s="21">
        <f t="shared" si="28"/>
        <v>15</v>
      </c>
      <c r="AN6" s="21">
        <f>VLOOKUP($L6,EQP!$A$2:$S$10,11,0)</f>
        <v>640</v>
      </c>
      <c r="AO6" s="21">
        <f>VLOOKUP($L6,EQP!$A$2:$S$10,12,0)</f>
        <v>920</v>
      </c>
      <c r="AP6" s="21">
        <f>VLOOKUP($L6,EQP!$A$2:$S$10,13,0)</f>
        <v>1120</v>
      </c>
      <c r="AQ6" s="21">
        <f t="shared" si="9"/>
        <v>1</v>
      </c>
      <c r="AR6" s="21">
        <f t="shared" si="10"/>
        <v>3</v>
      </c>
      <c r="AS6" s="21">
        <f t="shared" si="11"/>
        <v>6</v>
      </c>
      <c r="AT6" s="21">
        <f t="shared" si="29"/>
        <v>3</v>
      </c>
      <c r="AU6" s="21">
        <f t="shared" si="30"/>
        <v>6</v>
      </c>
      <c r="AV6" s="21">
        <f t="shared" si="31"/>
        <v>18</v>
      </c>
      <c r="AW6" s="21">
        <f>VLOOKUP($L6,EQP!$A$2:$S$10,14,0)</f>
        <v>920</v>
      </c>
      <c r="AX6" s="21">
        <f>VLOOKUP($L6,EQP!$A$2:$S$10,15,0)</f>
        <v>640</v>
      </c>
      <c r="AY6" s="21">
        <f>VLOOKUP($L6,EQP!$A$2:$S$10,16,0)</f>
        <v>1120</v>
      </c>
      <c r="AZ6" s="21">
        <f t="shared" si="12"/>
        <v>2</v>
      </c>
      <c r="BA6" s="21">
        <f t="shared" si="13"/>
        <v>2</v>
      </c>
      <c r="BB6" s="21">
        <f t="shared" si="14"/>
        <v>6</v>
      </c>
      <c r="BC6" s="21">
        <f t="shared" si="32"/>
        <v>4</v>
      </c>
      <c r="BD6" s="21">
        <f t="shared" si="33"/>
        <v>6</v>
      </c>
      <c r="BE6" s="21">
        <f t="shared" si="34"/>
        <v>24</v>
      </c>
      <c r="BF6" s="21">
        <f>VLOOKUP($L6,EQP!$A$2:$S$10,17,0)</f>
        <v>1120</v>
      </c>
      <c r="BG6" s="21">
        <f>VLOOKUP($L6,EQP!$A$2:$S$10,18,0)</f>
        <v>640</v>
      </c>
      <c r="BH6" s="21">
        <f>VLOOKUP($L6,EQP!$A$2:$S$10,19,0)</f>
        <v>920</v>
      </c>
      <c r="BI6" s="21">
        <f t="shared" si="15"/>
        <v>2</v>
      </c>
      <c r="BJ6" s="21">
        <f t="shared" si="16"/>
        <v>2</v>
      </c>
      <c r="BK6" s="21">
        <f t="shared" si="17"/>
        <v>5</v>
      </c>
      <c r="BL6" s="21">
        <f t="shared" si="35"/>
        <v>4</v>
      </c>
      <c r="BM6" s="21">
        <f t="shared" si="36"/>
        <v>5</v>
      </c>
      <c r="BN6" s="21">
        <f t="shared" si="37"/>
        <v>20</v>
      </c>
    </row>
    <row r="7" spans="1:66" x14ac:dyDescent="0.3">
      <c r="A7" s="5" t="str">
        <f t="shared" si="18"/>
        <v>1</v>
      </c>
      <c r="B7" s="6">
        <v>6</v>
      </c>
      <c r="C7" s="7">
        <v>14007839</v>
      </c>
      <c r="D7" s="7" t="s">
        <v>18</v>
      </c>
      <c r="E7" s="6">
        <v>380</v>
      </c>
      <c r="F7" s="6">
        <v>110</v>
      </c>
      <c r="G7" s="6">
        <v>295</v>
      </c>
      <c r="H7" s="6">
        <v>64</v>
      </c>
      <c r="I7" s="6">
        <v>1</v>
      </c>
      <c r="J7" s="6">
        <f t="shared" si="19"/>
        <v>64</v>
      </c>
      <c r="K7" s="6">
        <v>50</v>
      </c>
      <c r="L7" s="5" t="str">
        <f t="shared" si="38"/>
        <v>FLC ( 1200 x 1000 x 800) mm</v>
      </c>
      <c r="M7" s="21">
        <f>VLOOKUP($L7,EQP!$A$2:$S$10,2,0)</f>
        <v>1120</v>
      </c>
      <c r="N7" s="21">
        <f>VLOOKUP($L7,EQP!$A$2:$S$10,3,0)</f>
        <v>920</v>
      </c>
      <c r="O7" s="21">
        <f>VLOOKUP($L7,EQP!$A$2:$S$10,4,0)</f>
        <v>640</v>
      </c>
      <c r="P7" s="21">
        <f t="shared" si="0"/>
        <v>2</v>
      </c>
      <c r="Q7" s="21">
        <f t="shared" si="1"/>
        <v>8</v>
      </c>
      <c r="R7" s="21">
        <f t="shared" si="2"/>
        <v>2</v>
      </c>
      <c r="S7" s="21">
        <f t="shared" si="20"/>
        <v>16</v>
      </c>
      <c r="T7" s="21">
        <f t="shared" si="21"/>
        <v>2</v>
      </c>
      <c r="U7" s="21">
        <f t="shared" si="22"/>
        <v>32</v>
      </c>
      <c r="V7" s="21">
        <f>VLOOKUP($L7,EQP!$A$2:$S$10,5,0)</f>
        <v>920</v>
      </c>
      <c r="W7" s="21">
        <f>VLOOKUP($L7,EQP!$A$2:$S$10,6,0)</f>
        <v>1120</v>
      </c>
      <c r="X7" s="21">
        <f>VLOOKUP($L7,EQP!$A$2:$S$10,7,0)</f>
        <v>640</v>
      </c>
      <c r="Y7" s="21">
        <f t="shared" si="3"/>
        <v>2</v>
      </c>
      <c r="Z7" s="21">
        <f t="shared" si="4"/>
        <v>9</v>
      </c>
      <c r="AA7" s="21">
        <f t="shared" si="5"/>
        <v>2</v>
      </c>
      <c r="AB7" s="21">
        <f t="shared" si="23"/>
        <v>18</v>
      </c>
      <c r="AC7" s="21">
        <f t="shared" si="24"/>
        <v>2</v>
      </c>
      <c r="AD7" s="21">
        <f t="shared" si="25"/>
        <v>36</v>
      </c>
      <c r="AE7" s="21">
        <f>VLOOKUP($L7,EQP!$A$2:$S$10,8,0)</f>
        <v>640</v>
      </c>
      <c r="AF7" s="21">
        <f>VLOOKUP($L7,EQP!$A$2:$S$10,9,0)</f>
        <v>1120</v>
      </c>
      <c r="AG7" s="21">
        <f>VLOOKUP($L7,EQP!$A$2:$S$10,10,0)</f>
        <v>920</v>
      </c>
      <c r="AH7" s="21">
        <f t="shared" si="6"/>
        <v>1</v>
      </c>
      <c r="AI7" s="21">
        <f t="shared" si="7"/>
        <v>9</v>
      </c>
      <c r="AJ7" s="21">
        <f t="shared" si="8"/>
        <v>3</v>
      </c>
      <c r="AK7" s="21">
        <f t="shared" si="26"/>
        <v>9</v>
      </c>
      <c r="AL7" s="21">
        <f t="shared" si="27"/>
        <v>3</v>
      </c>
      <c r="AM7" s="21">
        <f t="shared" si="28"/>
        <v>27</v>
      </c>
      <c r="AN7" s="21">
        <f>VLOOKUP($L7,EQP!$A$2:$S$10,11,0)</f>
        <v>640</v>
      </c>
      <c r="AO7" s="21">
        <f>VLOOKUP($L7,EQP!$A$2:$S$10,12,0)</f>
        <v>920</v>
      </c>
      <c r="AP7" s="21">
        <f>VLOOKUP($L7,EQP!$A$2:$S$10,13,0)</f>
        <v>1120</v>
      </c>
      <c r="AQ7" s="21">
        <f t="shared" si="9"/>
        <v>1</v>
      </c>
      <c r="AR7" s="21">
        <f t="shared" si="10"/>
        <v>8</v>
      </c>
      <c r="AS7" s="21">
        <f t="shared" si="11"/>
        <v>3</v>
      </c>
      <c r="AT7" s="21">
        <f t="shared" si="29"/>
        <v>8</v>
      </c>
      <c r="AU7" s="21">
        <f t="shared" si="30"/>
        <v>3</v>
      </c>
      <c r="AV7" s="21">
        <f t="shared" si="31"/>
        <v>24</v>
      </c>
      <c r="AW7" s="21">
        <f>VLOOKUP($L7,EQP!$A$2:$S$10,14,0)</f>
        <v>920</v>
      </c>
      <c r="AX7" s="21">
        <f>VLOOKUP($L7,EQP!$A$2:$S$10,15,0)</f>
        <v>640</v>
      </c>
      <c r="AY7" s="21">
        <f>VLOOKUP($L7,EQP!$A$2:$S$10,16,0)</f>
        <v>1120</v>
      </c>
      <c r="AZ7" s="21">
        <f t="shared" si="12"/>
        <v>2</v>
      </c>
      <c r="BA7" s="21">
        <f t="shared" si="13"/>
        <v>5</v>
      </c>
      <c r="BB7" s="21">
        <f t="shared" si="14"/>
        <v>3</v>
      </c>
      <c r="BC7" s="21">
        <f t="shared" si="32"/>
        <v>10</v>
      </c>
      <c r="BD7" s="21">
        <f t="shared" si="33"/>
        <v>3</v>
      </c>
      <c r="BE7" s="21">
        <f t="shared" si="34"/>
        <v>30</v>
      </c>
      <c r="BF7" s="21">
        <f>VLOOKUP($L7,EQP!$A$2:$S$10,17,0)</f>
        <v>1120</v>
      </c>
      <c r="BG7" s="21">
        <f>VLOOKUP($L7,EQP!$A$2:$S$10,18,0)</f>
        <v>640</v>
      </c>
      <c r="BH7" s="21">
        <f>VLOOKUP($L7,EQP!$A$2:$S$10,19,0)</f>
        <v>920</v>
      </c>
      <c r="BI7" s="21">
        <f t="shared" si="15"/>
        <v>2</v>
      </c>
      <c r="BJ7" s="21">
        <f t="shared" si="16"/>
        <v>5</v>
      </c>
      <c r="BK7" s="21">
        <f t="shared" si="17"/>
        <v>3</v>
      </c>
      <c r="BL7" s="21">
        <f t="shared" si="35"/>
        <v>10</v>
      </c>
      <c r="BM7" s="21">
        <f t="shared" si="36"/>
        <v>3</v>
      </c>
      <c r="BN7" s="21">
        <f t="shared" si="37"/>
        <v>30</v>
      </c>
    </row>
    <row r="8" spans="1:66" x14ac:dyDescent="0.3">
      <c r="A8" s="5" t="str">
        <f t="shared" si="18"/>
        <v>1</v>
      </c>
      <c r="B8" s="6">
        <v>7</v>
      </c>
      <c r="C8" s="7">
        <v>14007840</v>
      </c>
      <c r="D8" s="7" t="s">
        <v>19</v>
      </c>
      <c r="E8" s="6">
        <v>130</v>
      </c>
      <c r="F8" s="6">
        <v>50</v>
      </c>
      <c r="G8" s="6">
        <v>385</v>
      </c>
      <c r="H8" s="6">
        <v>192</v>
      </c>
      <c r="I8" s="6">
        <v>1</v>
      </c>
      <c r="J8" s="6">
        <f t="shared" si="19"/>
        <v>192</v>
      </c>
      <c r="K8" s="6">
        <v>18</v>
      </c>
      <c r="L8" s="5" t="str">
        <f t="shared" si="38"/>
        <v>FLC ( 1200 x 1000 x 800) mm</v>
      </c>
      <c r="M8" s="21">
        <f>VLOOKUP($L8,EQP!$A$2:$S$10,2,0)</f>
        <v>1120</v>
      </c>
      <c r="N8" s="21">
        <f>VLOOKUP($L8,EQP!$A$2:$S$10,3,0)</f>
        <v>920</v>
      </c>
      <c r="O8" s="21">
        <f>VLOOKUP($L8,EQP!$A$2:$S$10,4,0)</f>
        <v>640</v>
      </c>
      <c r="P8" s="21">
        <f t="shared" si="0"/>
        <v>8</v>
      </c>
      <c r="Q8" s="21">
        <f t="shared" si="1"/>
        <v>16</v>
      </c>
      <c r="R8" s="21">
        <f t="shared" si="2"/>
        <v>1</v>
      </c>
      <c r="S8" s="21">
        <f t="shared" si="20"/>
        <v>128</v>
      </c>
      <c r="T8" s="21">
        <f t="shared" si="21"/>
        <v>1</v>
      </c>
      <c r="U8" s="21">
        <f t="shared" si="22"/>
        <v>128</v>
      </c>
      <c r="V8" s="21">
        <f>VLOOKUP($L8,EQP!$A$2:$S$10,5,0)</f>
        <v>920</v>
      </c>
      <c r="W8" s="21">
        <f>VLOOKUP($L8,EQP!$A$2:$S$10,6,0)</f>
        <v>1120</v>
      </c>
      <c r="X8" s="21">
        <f>VLOOKUP($L8,EQP!$A$2:$S$10,7,0)</f>
        <v>640</v>
      </c>
      <c r="Y8" s="21">
        <f t="shared" si="3"/>
        <v>6</v>
      </c>
      <c r="Z8" s="21">
        <f t="shared" si="4"/>
        <v>20</v>
      </c>
      <c r="AA8" s="21">
        <f t="shared" si="5"/>
        <v>1</v>
      </c>
      <c r="AB8" s="21">
        <f t="shared" si="23"/>
        <v>120</v>
      </c>
      <c r="AC8" s="21">
        <f t="shared" si="24"/>
        <v>1</v>
      </c>
      <c r="AD8" s="21">
        <f t="shared" si="25"/>
        <v>120</v>
      </c>
      <c r="AE8" s="21">
        <f>VLOOKUP($L8,EQP!$A$2:$S$10,8,0)</f>
        <v>640</v>
      </c>
      <c r="AF8" s="21">
        <f>VLOOKUP($L8,EQP!$A$2:$S$10,9,0)</f>
        <v>1120</v>
      </c>
      <c r="AG8" s="21">
        <f>VLOOKUP($L8,EQP!$A$2:$S$10,10,0)</f>
        <v>920</v>
      </c>
      <c r="AH8" s="21">
        <f t="shared" si="6"/>
        <v>4</v>
      </c>
      <c r="AI8" s="21">
        <f t="shared" si="7"/>
        <v>20</v>
      </c>
      <c r="AJ8" s="21">
        <f t="shared" si="8"/>
        <v>2</v>
      </c>
      <c r="AK8" s="21">
        <f t="shared" si="26"/>
        <v>80</v>
      </c>
      <c r="AL8" s="21">
        <f t="shared" si="27"/>
        <v>2</v>
      </c>
      <c r="AM8" s="21">
        <f t="shared" si="28"/>
        <v>160</v>
      </c>
      <c r="AN8" s="21">
        <f>VLOOKUP($L8,EQP!$A$2:$S$10,11,0)</f>
        <v>640</v>
      </c>
      <c r="AO8" s="21">
        <f>VLOOKUP($L8,EQP!$A$2:$S$10,12,0)</f>
        <v>920</v>
      </c>
      <c r="AP8" s="21">
        <f>VLOOKUP($L8,EQP!$A$2:$S$10,13,0)</f>
        <v>1120</v>
      </c>
      <c r="AQ8" s="21">
        <f t="shared" si="9"/>
        <v>4</v>
      </c>
      <c r="AR8" s="21">
        <f t="shared" si="10"/>
        <v>16</v>
      </c>
      <c r="AS8" s="21">
        <f t="shared" si="11"/>
        <v>2</v>
      </c>
      <c r="AT8" s="21">
        <f t="shared" si="29"/>
        <v>64</v>
      </c>
      <c r="AU8" s="21">
        <f t="shared" si="30"/>
        <v>2</v>
      </c>
      <c r="AV8" s="21">
        <f t="shared" si="31"/>
        <v>128</v>
      </c>
      <c r="AW8" s="21">
        <f>VLOOKUP($L8,EQP!$A$2:$S$10,14,0)</f>
        <v>920</v>
      </c>
      <c r="AX8" s="21">
        <f>VLOOKUP($L8,EQP!$A$2:$S$10,15,0)</f>
        <v>640</v>
      </c>
      <c r="AY8" s="21">
        <f>VLOOKUP($L8,EQP!$A$2:$S$10,16,0)</f>
        <v>1120</v>
      </c>
      <c r="AZ8" s="21">
        <f t="shared" si="12"/>
        <v>6</v>
      </c>
      <c r="BA8" s="21">
        <f t="shared" si="13"/>
        <v>11</v>
      </c>
      <c r="BB8" s="21">
        <f t="shared" si="14"/>
        <v>2</v>
      </c>
      <c r="BC8" s="21">
        <f t="shared" si="32"/>
        <v>66</v>
      </c>
      <c r="BD8" s="21">
        <f t="shared" si="33"/>
        <v>2</v>
      </c>
      <c r="BE8" s="21">
        <f t="shared" si="34"/>
        <v>132</v>
      </c>
      <c r="BF8" s="21">
        <f>VLOOKUP($L8,EQP!$A$2:$S$10,17,0)</f>
        <v>1120</v>
      </c>
      <c r="BG8" s="21">
        <f>VLOOKUP($L8,EQP!$A$2:$S$10,18,0)</f>
        <v>640</v>
      </c>
      <c r="BH8" s="21">
        <f>VLOOKUP($L8,EQP!$A$2:$S$10,19,0)</f>
        <v>920</v>
      </c>
      <c r="BI8" s="21">
        <f t="shared" si="15"/>
        <v>8</v>
      </c>
      <c r="BJ8" s="21">
        <f t="shared" si="16"/>
        <v>11</v>
      </c>
      <c r="BK8" s="21">
        <f t="shared" si="17"/>
        <v>2</v>
      </c>
      <c r="BL8" s="21">
        <f t="shared" si="35"/>
        <v>88</v>
      </c>
      <c r="BM8" s="21">
        <f t="shared" si="36"/>
        <v>2</v>
      </c>
      <c r="BN8" s="21">
        <f t="shared" si="37"/>
        <v>176</v>
      </c>
    </row>
    <row r="9" spans="1:66" x14ac:dyDescent="0.3">
      <c r="A9" s="5" t="str">
        <f t="shared" si="18"/>
        <v>1</v>
      </c>
      <c r="B9" s="6">
        <v>8</v>
      </c>
      <c r="C9" s="7">
        <v>14007841</v>
      </c>
      <c r="D9" s="7" t="s">
        <v>20</v>
      </c>
      <c r="E9" s="6">
        <v>130</v>
      </c>
      <c r="F9" s="6">
        <v>50</v>
      </c>
      <c r="G9" s="6">
        <v>385</v>
      </c>
      <c r="H9" s="6">
        <v>192</v>
      </c>
      <c r="I9" s="6">
        <v>1</v>
      </c>
      <c r="J9" s="6">
        <f t="shared" si="19"/>
        <v>192</v>
      </c>
      <c r="K9" s="6">
        <v>18</v>
      </c>
      <c r="L9" s="5" t="str">
        <f t="shared" si="38"/>
        <v>FLC ( 1200 x 1000 x 800) mm</v>
      </c>
      <c r="M9" s="21">
        <f>VLOOKUP($L9,EQP!$A$2:$S$10,2,0)</f>
        <v>1120</v>
      </c>
      <c r="N9" s="21">
        <f>VLOOKUP($L9,EQP!$A$2:$S$10,3,0)</f>
        <v>920</v>
      </c>
      <c r="O9" s="21">
        <f>VLOOKUP($L9,EQP!$A$2:$S$10,4,0)</f>
        <v>640</v>
      </c>
      <c r="P9" s="21">
        <f t="shared" si="0"/>
        <v>8</v>
      </c>
      <c r="Q9" s="21">
        <f t="shared" si="1"/>
        <v>16</v>
      </c>
      <c r="R9" s="21">
        <f t="shared" si="2"/>
        <v>1</v>
      </c>
      <c r="S9" s="21">
        <f t="shared" si="20"/>
        <v>128</v>
      </c>
      <c r="T9" s="21">
        <f t="shared" si="21"/>
        <v>1</v>
      </c>
      <c r="U9" s="21">
        <f t="shared" si="22"/>
        <v>128</v>
      </c>
      <c r="V9" s="21">
        <f>VLOOKUP($L9,EQP!$A$2:$S$10,5,0)</f>
        <v>920</v>
      </c>
      <c r="W9" s="21">
        <f>VLOOKUP($L9,EQP!$A$2:$S$10,6,0)</f>
        <v>1120</v>
      </c>
      <c r="X9" s="21">
        <f>VLOOKUP($L9,EQP!$A$2:$S$10,7,0)</f>
        <v>640</v>
      </c>
      <c r="Y9" s="21">
        <f t="shared" si="3"/>
        <v>6</v>
      </c>
      <c r="Z9" s="21">
        <f t="shared" si="4"/>
        <v>20</v>
      </c>
      <c r="AA9" s="21">
        <f t="shared" si="5"/>
        <v>1</v>
      </c>
      <c r="AB9" s="21">
        <f t="shared" si="23"/>
        <v>120</v>
      </c>
      <c r="AC9" s="21">
        <f t="shared" si="24"/>
        <v>1</v>
      </c>
      <c r="AD9" s="21">
        <f t="shared" si="25"/>
        <v>120</v>
      </c>
      <c r="AE9" s="21">
        <f>VLOOKUP($L9,EQP!$A$2:$S$10,8,0)</f>
        <v>640</v>
      </c>
      <c r="AF9" s="21">
        <f>VLOOKUP($L9,EQP!$A$2:$S$10,9,0)</f>
        <v>1120</v>
      </c>
      <c r="AG9" s="21">
        <f>VLOOKUP($L9,EQP!$A$2:$S$10,10,0)</f>
        <v>920</v>
      </c>
      <c r="AH9" s="21">
        <f t="shared" si="6"/>
        <v>4</v>
      </c>
      <c r="AI9" s="21">
        <f t="shared" si="7"/>
        <v>20</v>
      </c>
      <c r="AJ9" s="21">
        <f t="shared" si="8"/>
        <v>2</v>
      </c>
      <c r="AK9" s="21">
        <f t="shared" si="26"/>
        <v>80</v>
      </c>
      <c r="AL9" s="21">
        <f t="shared" si="27"/>
        <v>2</v>
      </c>
      <c r="AM9" s="21">
        <f t="shared" si="28"/>
        <v>160</v>
      </c>
      <c r="AN9" s="21">
        <f>VLOOKUP($L9,EQP!$A$2:$S$10,11,0)</f>
        <v>640</v>
      </c>
      <c r="AO9" s="21">
        <f>VLOOKUP($L9,EQP!$A$2:$S$10,12,0)</f>
        <v>920</v>
      </c>
      <c r="AP9" s="21">
        <f>VLOOKUP($L9,EQP!$A$2:$S$10,13,0)</f>
        <v>1120</v>
      </c>
      <c r="AQ9" s="21">
        <f t="shared" si="9"/>
        <v>4</v>
      </c>
      <c r="AR9" s="21">
        <f t="shared" si="10"/>
        <v>16</v>
      </c>
      <c r="AS9" s="21">
        <f t="shared" si="11"/>
        <v>2</v>
      </c>
      <c r="AT9" s="21">
        <f t="shared" si="29"/>
        <v>64</v>
      </c>
      <c r="AU9" s="21">
        <f t="shared" si="30"/>
        <v>2</v>
      </c>
      <c r="AV9" s="21">
        <f t="shared" si="31"/>
        <v>128</v>
      </c>
      <c r="AW9" s="21">
        <f>VLOOKUP($L9,EQP!$A$2:$S$10,14,0)</f>
        <v>920</v>
      </c>
      <c r="AX9" s="21">
        <f>VLOOKUP($L9,EQP!$A$2:$S$10,15,0)</f>
        <v>640</v>
      </c>
      <c r="AY9" s="21">
        <f>VLOOKUP($L9,EQP!$A$2:$S$10,16,0)</f>
        <v>1120</v>
      </c>
      <c r="AZ9" s="21">
        <f t="shared" si="12"/>
        <v>6</v>
      </c>
      <c r="BA9" s="21">
        <f t="shared" si="13"/>
        <v>11</v>
      </c>
      <c r="BB9" s="21">
        <f t="shared" si="14"/>
        <v>2</v>
      </c>
      <c r="BC9" s="21">
        <f t="shared" si="32"/>
        <v>66</v>
      </c>
      <c r="BD9" s="21">
        <f t="shared" si="33"/>
        <v>2</v>
      </c>
      <c r="BE9" s="21">
        <f t="shared" si="34"/>
        <v>132</v>
      </c>
      <c r="BF9" s="21">
        <f>VLOOKUP($L9,EQP!$A$2:$S$10,17,0)</f>
        <v>1120</v>
      </c>
      <c r="BG9" s="21">
        <f>VLOOKUP($L9,EQP!$A$2:$S$10,18,0)</f>
        <v>640</v>
      </c>
      <c r="BH9" s="21">
        <f>VLOOKUP($L9,EQP!$A$2:$S$10,19,0)</f>
        <v>920</v>
      </c>
      <c r="BI9" s="21">
        <f t="shared" si="15"/>
        <v>8</v>
      </c>
      <c r="BJ9" s="21">
        <f t="shared" si="16"/>
        <v>11</v>
      </c>
      <c r="BK9" s="21">
        <f t="shared" si="17"/>
        <v>2</v>
      </c>
      <c r="BL9" s="21">
        <f t="shared" si="35"/>
        <v>88</v>
      </c>
      <c r="BM9" s="21">
        <f t="shared" si="36"/>
        <v>2</v>
      </c>
      <c r="BN9" s="21">
        <f t="shared" si="37"/>
        <v>176</v>
      </c>
    </row>
    <row r="10" spans="1:66" x14ac:dyDescent="0.3">
      <c r="A10" s="5" t="str">
        <f t="shared" si="18"/>
        <v>1</v>
      </c>
      <c r="B10" s="6">
        <v>9</v>
      </c>
      <c r="C10" s="7">
        <v>14007842</v>
      </c>
      <c r="D10" s="7" t="s">
        <v>21</v>
      </c>
      <c r="E10" s="6">
        <v>170</v>
      </c>
      <c r="F10" s="6">
        <v>70</v>
      </c>
      <c r="G10" s="6">
        <v>265</v>
      </c>
      <c r="H10" s="6">
        <v>80</v>
      </c>
      <c r="I10" s="6">
        <v>1</v>
      </c>
      <c r="J10" s="6">
        <f t="shared" si="19"/>
        <v>80</v>
      </c>
      <c r="K10" s="6">
        <v>40</v>
      </c>
      <c r="L10" s="5" t="str">
        <f t="shared" si="38"/>
        <v>FLC ( 1200 x 1000 x 800) mm</v>
      </c>
      <c r="M10" s="21">
        <f>VLOOKUP($L10,EQP!$A$2:$S$10,2,0)</f>
        <v>1120</v>
      </c>
      <c r="N10" s="21">
        <f>VLOOKUP($L10,EQP!$A$2:$S$10,3,0)</f>
        <v>920</v>
      </c>
      <c r="O10" s="21">
        <f>VLOOKUP($L10,EQP!$A$2:$S$10,4,0)</f>
        <v>640</v>
      </c>
      <c r="P10" s="21">
        <f t="shared" si="0"/>
        <v>6</v>
      </c>
      <c r="Q10" s="21">
        <f t="shared" si="1"/>
        <v>12</v>
      </c>
      <c r="R10" s="21">
        <f t="shared" si="2"/>
        <v>2</v>
      </c>
      <c r="S10" s="21">
        <f t="shared" si="20"/>
        <v>72</v>
      </c>
      <c r="T10" s="21">
        <f t="shared" si="21"/>
        <v>2</v>
      </c>
      <c r="U10" s="21">
        <f t="shared" si="22"/>
        <v>144</v>
      </c>
      <c r="V10" s="21">
        <f>VLOOKUP($L10,EQP!$A$2:$S$10,5,0)</f>
        <v>920</v>
      </c>
      <c r="W10" s="21">
        <f>VLOOKUP($L10,EQP!$A$2:$S$10,6,0)</f>
        <v>1120</v>
      </c>
      <c r="X10" s="21">
        <f>VLOOKUP($L10,EQP!$A$2:$S$10,7,0)</f>
        <v>640</v>
      </c>
      <c r="Y10" s="21">
        <f t="shared" si="3"/>
        <v>5</v>
      </c>
      <c r="Z10" s="21">
        <f t="shared" si="4"/>
        <v>14</v>
      </c>
      <c r="AA10" s="21">
        <f t="shared" si="5"/>
        <v>2</v>
      </c>
      <c r="AB10" s="21">
        <f t="shared" si="23"/>
        <v>70</v>
      </c>
      <c r="AC10" s="21">
        <f t="shared" si="24"/>
        <v>2</v>
      </c>
      <c r="AD10" s="21">
        <f t="shared" si="25"/>
        <v>140</v>
      </c>
      <c r="AE10" s="21">
        <f>VLOOKUP($L10,EQP!$A$2:$S$10,8,0)</f>
        <v>640</v>
      </c>
      <c r="AF10" s="21">
        <f>VLOOKUP($L10,EQP!$A$2:$S$10,9,0)</f>
        <v>1120</v>
      </c>
      <c r="AG10" s="21">
        <f>VLOOKUP($L10,EQP!$A$2:$S$10,10,0)</f>
        <v>920</v>
      </c>
      <c r="AH10" s="21">
        <f t="shared" si="6"/>
        <v>3</v>
      </c>
      <c r="AI10" s="21">
        <f t="shared" si="7"/>
        <v>14</v>
      </c>
      <c r="AJ10" s="21">
        <f t="shared" si="8"/>
        <v>3</v>
      </c>
      <c r="AK10" s="21">
        <f t="shared" si="26"/>
        <v>42</v>
      </c>
      <c r="AL10" s="21">
        <f t="shared" si="27"/>
        <v>3</v>
      </c>
      <c r="AM10" s="21">
        <f t="shared" si="28"/>
        <v>126</v>
      </c>
      <c r="AN10" s="21">
        <f>VLOOKUP($L10,EQP!$A$2:$S$10,11,0)</f>
        <v>640</v>
      </c>
      <c r="AO10" s="21">
        <f>VLOOKUP($L10,EQP!$A$2:$S$10,12,0)</f>
        <v>920</v>
      </c>
      <c r="AP10" s="21">
        <f>VLOOKUP($L10,EQP!$A$2:$S$10,13,0)</f>
        <v>1120</v>
      </c>
      <c r="AQ10" s="21">
        <f t="shared" si="9"/>
        <v>3</v>
      </c>
      <c r="AR10" s="21">
        <f t="shared" si="10"/>
        <v>12</v>
      </c>
      <c r="AS10" s="21">
        <f t="shared" si="11"/>
        <v>4</v>
      </c>
      <c r="AT10" s="21">
        <f t="shared" si="29"/>
        <v>36</v>
      </c>
      <c r="AU10" s="21">
        <f t="shared" si="30"/>
        <v>4</v>
      </c>
      <c r="AV10" s="21">
        <f t="shared" si="31"/>
        <v>144</v>
      </c>
      <c r="AW10" s="21">
        <f>VLOOKUP($L10,EQP!$A$2:$S$10,14,0)</f>
        <v>920</v>
      </c>
      <c r="AX10" s="21">
        <f>VLOOKUP($L10,EQP!$A$2:$S$10,15,0)</f>
        <v>640</v>
      </c>
      <c r="AY10" s="21">
        <f>VLOOKUP($L10,EQP!$A$2:$S$10,16,0)</f>
        <v>1120</v>
      </c>
      <c r="AZ10" s="21">
        <f t="shared" si="12"/>
        <v>5</v>
      </c>
      <c r="BA10" s="21">
        <f t="shared" si="13"/>
        <v>8</v>
      </c>
      <c r="BB10" s="21">
        <f t="shared" si="14"/>
        <v>4</v>
      </c>
      <c r="BC10" s="21">
        <f t="shared" si="32"/>
        <v>40</v>
      </c>
      <c r="BD10" s="21">
        <f t="shared" si="33"/>
        <v>4</v>
      </c>
      <c r="BE10" s="21">
        <f t="shared" si="34"/>
        <v>160</v>
      </c>
      <c r="BF10" s="21">
        <f>VLOOKUP($L10,EQP!$A$2:$S$10,17,0)</f>
        <v>1120</v>
      </c>
      <c r="BG10" s="21">
        <f>VLOOKUP($L10,EQP!$A$2:$S$10,18,0)</f>
        <v>640</v>
      </c>
      <c r="BH10" s="21">
        <f>VLOOKUP($L10,EQP!$A$2:$S$10,19,0)</f>
        <v>920</v>
      </c>
      <c r="BI10" s="21">
        <f t="shared" si="15"/>
        <v>6</v>
      </c>
      <c r="BJ10" s="21">
        <f t="shared" si="16"/>
        <v>8</v>
      </c>
      <c r="BK10" s="21">
        <f t="shared" si="17"/>
        <v>3</v>
      </c>
      <c r="BL10" s="21">
        <f t="shared" si="35"/>
        <v>48</v>
      </c>
      <c r="BM10" s="21">
        <f t="shared" si="36"/>
        <v>3</v>
      </c>
      <c r="BN10" s="21">
        <f t="shared" si="37"/>
        <v>144</v>
      </c>
    </row>
    <row r="11" spans="1:66" x14ac:dyDescent="0.3">
      <c r="A11" s="5" t="str">
        <f t="shared" si="18"/>
        <v>1</v>
      </c>
      <c r="B11" s="6">
        <v>10</v>
      </c>
      <c r="C11" s="7">
        <v>14007843</v>
      </c>
      <c r="D11" s="7" t="s">
        <v>22</v>
      </c>
      <c r="E11" s="6">
        <v>225</v>
      </c>
      <c r="F11" s="6">
        <v>70</v>
      </c>
      <c r="G11" s="6">
        <v>310</v>
      </c>
      <c r="H11" s="6">
        <v>192</v>
      </c>
      <c r="I11" s="6">
        <v>3</v>
      </c>
      <c r="J11" s="6">
        <f t="shared" si="19"/>
        <v>576</v>
      </c>
      <c r="K11" s="6">
        <v>6</v>
      </c>
      <c r="L11" s="5" t="str">
        <f t="shared" si="38"/>
        <v>FLC ( 1200 x 1000 x 800) mm</v>
      </c>
      <c r="M11" s="21">
        <f>VLOOKUP($L11,EQP!$A$2:$S$10,2,0)</f>
        <v>1120</v>
      </c>
      <c r="N11" s="21">
        <f>VLOOKUP($L11,EQP!$A$2:$S$10,3,0)</f>
        <v>920</v>
      </c>
      <c r="O11" s="21">
        <f>VLOOKUP($L11,EQP!$A$2:$S$10,4,0)</f>
        <v>640</v>
      </c>
      <c r="P11" s="21">
        <f t="shared" si="0"/>
        <v>4</v>
      </c>
      <c r="Q11" s="21">
        <f t="shared" si="1"/>
        <v>12</v>
      </c>
      <c r="R11" s="21">
        <f t="shared" si="2"/>
        <v>2</v>
      </c>
      <c r="S11" s="21">
        <f t="shared" si="20"/>
        <v>48</v>
      </c>
      <c r="T11" s="21">
        <f t="shared" si="21"/>
        <v>2</v>
      </c>
      <c r="U11" s="21">
        <f t="shared" si="22"/>
        <v>96</v>
      </c>
      <c r="V11" s="21">
        <f>VLOOKUP($L11,EQP!$A$2:$S$10,5,0)</f>
        <v>920</v>
      </c>
      <c r="W11" s="21">
        <f>VLOOKUP($L11,EQP!$A$2:$S$10,6,0)</f>
        <v>1120</v>
      </c>
      <c r="X11" s="21">
        <f>VLOOKUP($L11,EQP!$A$2:$S$10,7,0)</f>
        <v>640</v>
      </c>
      <c r="Y11" s="21">
        <f t="shared" si="3"/>
        <v>4</v>
      </c>
      <c r="Z11" s="21">
        <f t="shared" si="4"/>
        <v>14</v>
      </c>
      <c r="AA11" s="21">
        <f t="shared" si="5"/>
        <v>2</v>
      </c>
      <c r="AB11" s="21">
        <f t="shared" si="23"/>
        <v>56</v>
      </c>
      <c r="AC11" s="21">
        <f t="shared" si="24"/>
        <v>2</v>
      </c>
      <c r="AD11" s="21">
        <f t="shared" si="25"/>
        <v>112</v>
      </c>
      <c r="AE11" s="21">
        <f>VLOOKUP($L11,EQP!$A$2:$S$10,8,0)</f>
        <v>640</v>
      </c>
      <c r="AF11" s="21">
        <f>VLOOKUP($L11,EQP!$A$2:$S$10,9,0)</f>
        <v>1120</v>
      </c>
      <c r="AG11" s="21">
        <f>VLOOKUP($L11,EQP!$A$2:$S$10,10,0)</f>
        <v>920</v>
      </c>
      <c r="AH11" s="21">
        <f t="shared" si="6"/>
        <v>2</v>
      </c>
      <c r="AI11" s="21">
        <f t="shared" si="7"/>
        <v>14</v>
      </c>
      <c r="AJ11" s="21">
        <f t="shared" si="8"/>
        <v>2</v>
      </c>
      <c r="AK11" s="21">
        <f t="shared" si="26"/>
        <v>28</v>
      </c>
      <c r="AL11" s="21">
        <f t="shared" si="27"/>
        <v>2</v>
      </c>
      <c r="AM11" s="21">
        <f t="shared" si="28"/>
        <v>56</v>
      </c>
      <c r="AN11" s="21">
        <f>VLOOKUP($L11,EQP!$A$2:$S$10,11,0)</f>
        <v>640</v>
      </c>
      <c r="AO11" s="21">
        <f>VLOOKUP($L11,EQP!$A$2:$S$10,12,0)</f>
        <v>920</v>
      </c>
      <c r="AP11" s="21">
        <f>VLOOKUP($L11,EQP!$A$2:$S$10,13,0)</f>
        <v>1120</v>
      </c>
      <c r="AQ11" s="21">
        <f t="shared" si="9"/>
        <v>2</v>
      </c>
      <c r="AR11" s="21">
        <f t="shared" si="10"/>
        <v>12</v>
      </c>
      <c r="AS11" s="21">
        <f t="shared" si="11"/>
        <v>3</v>
      </c>
      <c r="AT11" s="21">
        <f t="shared" si="29"/>
        <v>24</v>
      </c>
      <c r="AU11" s="21">
        <f t="shared" si="30"/>
        <v>3</v>
      </c>
      <c r="AV11" s="21">
        <f t="shared" si="31"/>
        <v>72</v>
      </c>
      <c r="AW11" s="21">
        <f>VLOOKUP($L11,EQP!$A$2:$S$10,14,0)</f>
        <v>920</v>
      </c>
      <c r="AX11" s="21">
        <f>VLOOKUP($L11,EQP!$A$2:$S$10,15,0)</f>
        <v>640</v>
      </c>
      <c r="AY11" s="21">
        <f>VLOOKUP($L11,EQP!$A$2:$S$10,16,0)</f>
        <v>1120</v>
      </c>
      <c r="AZ11" s="21">
        <f t="shared" si="12"/>
        <v>4</v>
      </c>
      <c r="BA11" s="21">
        <f t="shared" si="13"/>
        <v>8</v>
      </c>
      <c r="BB11" s="21">
        <f t="shared" si="14"/>
        <v>3</v>
      </c>
      <c r="BC11" s="21">
        <f t="shared" si="32"/>
        <v>32</v>
      </c>
      <c r="BD11" s="21">
        <f t="shared" si="33"/>
        <v>3</v>
      </c>
      <c r="BE11" s="21">
        <f t="shared" si="34"/>
        <v>96</v>
      </c>
      <c r="BF11" s="21">
        <f>VLOOKUP($L11,EQP!$A$2:$S$10,17,0)</f>
        <v>1120</v>
      </c>
      <c r="BG11" s="21">
        <f>VLOOKUP($L11,EQP!$A$2:$S$10,18,0)</f>
        <v>640</v>
      </c>
      <c r="BH11" s="21">
        <f>VLOOKUP($L11,EQP!$A$2:$S$10,19,0)</f>
        <v>920</v>
      </c>
      <c r="BI11" s="21">
        <f t="shared" si="15"/>
        <v>4</v>
      </c>
      <c r="BJ11" s="21">
        <f t="shared" si="16"/>
        <v>8</v>
      </c>
      <c r="BK11" s="21">
        <f t="shared" si="17"/>
        <v>2</v>
      </c>
      <c r="BL11" s="21">
        <f t="shared" si="35"/>
        <v>32</v>
      </c>
      <c r="BM11" s="21">
        <f t="shared" si="36"/>
        <v>2</v>
      </c>
      <c r="BN11" s="21">
        <f t="shared" si="37"/>
        <v>64</v>
      </c>
    </row>
    <row r="12" spans="1:66" x14ac:dyDescent="0.3">
      <c r="A12" s="5" t="str">
        <f t="shared" si="18"/>
        <v/>
      </c>
    </row>
    <row r="13" spans="1:66" x14ac:dyDescent="0.3">
      <c r="A13" s="5" t="str">
        <f t="shared" si="18"/>
        <v/>
      </c>
    </row>
    <row r="14" spans="1:66" x14ac:dyDescent="0.3">
      <c r="A14" s="5" t="str">
        <f t="shared" si="18"/>
        <v/>
      </c>
    </row>
    <row r="15" spans="1:66" x14ac:dyDescent="0.3">
      <c r="A15" s="5" t="str">
        <f t="shared" si="18"/>
        <v/>
      </c>
    </row>
    <row r="16" spans="1:66" x14ac:dyDescent="0.3">
      <c r="A16" s="5" t="str">
        <f t="shared" si="18"/>
        <v/>
      </c>
    </row>
    <row r="17" spans="1:66" x14ac:dyDescent="0.3">
      <c r="A17" s="5" t="str">
        <f t="shared" si="18"/>
        <v/>
      </c>
    </row>
    <row r="18" spans="1:66" x14ac:dyDescent="0.3">
      <c r="A18" s="5" t="str">
        <f t="shared" si="18"/>
        <v/>
      </c>
    </row>
    <row r="19" spans="1:66" x14ac:dyDescent="0.3">
      <c r="A19" s="5" t="str">
        <f t="shared" si="18"/>
        <v/>
      </c>
    </row>
    <row r="20" spans="1:66" x14ac:dyDescent="0.3">
      <c r="A20" s="5" t="str">
        <f t="shared" si="18"/>
        <v/>
      </c>
    </row>
    <row r="21" spans="1:66" x14ac:dyDescent="0.3">
      <c r="A21" s="5" t="str">
        <f t="shared" si="18"/>
        <v>1</v>
      </c>
      <c r="B21" s="6">
        <f>$B2</f>
        <v>1</v>
      </c>
      <c r="C21" s="7">
        <f>$C2</f>
        <v>14007834</v>
      </c>
      <c r="D21" s="7" t="str">
        <f>$D2</f>
        <v>2.0_M_CENTER BEZEL PREMIUM ASSY</v>
      </c>
      <c r="E21" s="6">
        <f>$E2</f>
        <v>274</v>
      </c>
      <c r="F21" s="6">
        <f>$F2</f>
        <v>76</v>
      </c>
      <c r="G21" s="6">
        <f>$G2</f>
        <v>620</v>
      </c>
      <c r="H21" s="6">
        <f>$H2</f>
        <v>44</v>
      </c>
      <c r="I21" s="6">
        <f>$I2</f>
        <v>1</v>
      </c>
      <c r="J21" s="6">
        <f>$J2</f>
        <v>44</v>
      </c>
      <c r="K21" s="6">
        <f>$K2</f>
        <v>80</v>
      </c>
      <c r="L21" s="5" t="str">
        <f>EQP!A3</f>
        <v>FLC ( 1200 x 800 x 975) mm</v>
      </c>
      <c r="M21" s="21">
        <f>VLOOKUP($L21,EQP!$A$2:$S$10,2,0)</f>
        <v>1155</v>
      </c>
      <c r="N21" s="21">
        <f>VLOOKUP($L21,EQP!$A$2:$S$10,3,0)</f>
        <v>755</v>
      </c>
      <c r="O21" s="21">
        <f>VLOOKUP($L21,EQP!$A$2:$S$10,4,0)</f>
        <v>780</v>
      </c>
      <c r="P21" s="21">
        <f t="shared" ref="P21:P30" si="39">ROUNDDOWN($M21/($E21+5),0)</f>
        <v>4</v>
      </c>
      <c r="Q21" s="21">
        <f t="shared" ref="Q21:Q30" si="40">ROUNDDOWN($N21/($F21+5),0)</f>
        <v>9</v>
      </c>
      <c r="R21" s="21">
        <f t="shared" ref="R21:R30" si="41">ROUNDDOWN($O21/($G21+5),0)</f>
        <v>1</v>
      </c>
      <c r="S21" s="21">
        <f>$P21*$Q21</f>
        <v>36</v>
      </c>
      <c r="T21" s="21">
        <f>R21</f>
        <v>1</v>
      </c>
      <c r="U21" s="21">
        <f>S21*T21</f>
        <v>36</v>
      </c>
      <c r="V21" s="21">
        <f>VLOOKUP($L21,EQP!$A$2:$S$10,5,0)</f>
        <v>755</v>
      </c>
      <c r="W21" s="21">
        <f>VLOOKUP($L21,EQP!$A$2:$S$10,6,0)</f>
        <v>1155</v>
      </c>
      <c r="X21" s="21">
        <f>VLOOKUP($L21,EQP!$A$2:$S$10,7,0)</f>
        <v>780</v>
      </c>
      <c r="Y21" s="21">
        <f t="shared" ref="Y21:Y30" si="42">ROUNDDOWN($N21/($E21+5),0)</f>
        <v>2</v>
      </c>
      <c r="Z21" s="21">
        <f t="shared" ref="Z21:Z30" si="43">ROUNDDOWN($W21/($F21+5),0)</f>
        <v>14</v>
      </c>
      <c r="AA21" s="21">
        <f t="shared" ref="AA21:AA30" si="44">ROUNDDOWN($X21/($G21+5),0)</f>
        <v>1</v>
      </c>
      <c r="AB21" s="21">
        <f>Y21*Z21</f>
        <v>28</v>
      </c>
      <c r="AC21" s="21">
        <f>AA21</f>
        <v>1</v>
      </c>
      <c r="AD21" s="21">
        <f>AB21*AC21</f>
        <v>28</v>
      </c>
      <c r="AE21" s="21">
        <f>VLOOKUP($L21,EQP!$A$2:$S$10,8,0)</f>
        <v>780</v>
      </c>
      <c r="AF21" s="21">
        <f>VLOOKUP($L21,EQP!$A$2:$S$10,9,0)</f>
        <v>1155</v>
      </c>
      <c r="AG21" s="21">
        <f>VLOOKUP($L21,EQP!$A$2:$S$10,10,0)</f>
        <v>755</v>
      </c>
      <c r="AH21" s="21">
        <f t="shared" ref="AH21:AH30" si="45">ROUNDDOWN($AE21/($E21+5),0)</f>
        <v>2</v>
      </c>
      <c r="AI21" s="21">
        <f t="shared" ref="AI21:AI30" si="46">ROUNDDOWN($AF21/($F21+5),0)</f>
        <v>14</v>
      </c>
      <c r="AJ21" s="21">
        <f t="shared" ref="AJ21:AJ30" si="47">ROUNDDOWN($AG21/($G21+5),0)</f>
        <v>1</v>
      </c>
      <c r="AK21" s="21">
        <f>AH21*AI21</f>
        <v>28</v>
      </c>
      <c r="AL21" s="21">
        <f>AJ21</f>
        <v>1</v>
      </c>
      <c r="AM21" s="21">
        <f>AK21*AL21</f>
        <v>28</v>
      </c>
      <c r="AN21" s="21">
        <f>VLOOKUP($L21,EQP!$A$2:$S$10,11,0)</f>
        <v>780</v>
      </c>
      <c r="AO21" s="21">
        <f>VLOOKUP($L21,EQP!$A$2:$S$10,12,0)</f>
        <v>755</v>
      </c>
      <c r="AP21" s="21">
        <f>VLOOKUP($L21,EQP!$A$2:$S$10,13,0)</f>
        <v>1155</v>
      </c>
      <c r="AQ21" s="21">
        <f t="shared" ref="AQ21:AQ30" si="48">ROUNDDOWN($AN21/($E21+5),0)</f>
        <v>2</v>
      </c>
      <c r="AR21" s="21">
        <f t="shared" ref="AR21:AR30" si="49">ROUNDDOWN($AO21/($F21+5),0)</f>
        <v>9</v>
      </c>
      <c r="AS21" s="21">
        <f t="shared" ref="AS21:AS30" si="50">ROUNDDOWN($AP21/($G21+5),0)</f>
        <v>1</v>
      </c>
      <c r="AT21" s="21">
        <f>AQ21*AR21</f>
        <v>18</v>
      </c>
      <c r="AU21" s="21">
        <f>AS21</f>
        <v>1</v>
      </c>
      <c r="AV21" s="21">
        <f>AT21*AU21</f>
        <v>18</v>
      </c>
      <c r="AW21" s="21">
        <f>VLOOKUP($L21,EQP!$A$2:$S$10,14,0)</f>
        <v>755</v>
      </c>
      <c r="AX21" s="21">
        <f>VLOOKUP($L21,EQP!$A$2:$S$10,15,0)</f>
        <v>780</v>
      </c>
      <c r="AY21" s="21">
        <f>VLOOKUP($L21,EQP!$A$2:$S$10,16,0)</f>
        <v>1155</v>
      </c>
      <c r="AZ21" s="21">
        <f t="shared" ref="AZ21:AZ30" si="51">ROUNDDOWN($AW21/($E21+5),0)</f>
        <v>2</v>
      </c>
      <c r="BA21" s="21">
        <f t="shared" ref="BA21:BA30" si="52">ROUNDDOWN($AX21/($F21+5),0)</f>
        <v>9</v>
      </c>
      <c r="BB21" s="21">
        <f t="shared" ref="BB21:BB30" si="53">ROUNDDOWN($AY21/($G21+5),0)</f>
        <v>1</v>
      </c>
      <c r="BC21" s="21">
        <f>AZ21*BA21</f>
        <v>18</v>
      </c>
      <c r="BD21" s="21">
        <f>BB21</f>
        <v>1</v>
      </c>
      <c r="BE21" s="21">
        <f>BC21*BD21</f>
        <v>18</v>
      </c>
      <c r="BF21" s="21">
        <f>VLOOKUP($L21,EQP!$A$2:$S$10,17,0)</f>
        <v>1155</v>
      </c>
      <c r="BG21" s="21">
        <f>VLOOKUP($L21,EQP!$A$2:$S$10,18,0)</f>
        <v>780</v>
      </c>
      <c r="BH21" s="21">
        <f>VLOOKUP($L21,EQP!$A$2:$S$10,19,0)</f>
        <v>755</v>
      </c>
      <c r="BI21" s="21">
        <f t="shared" ref="BI21:BI30" si="54">ROUNDDOWN($BF21/($E21+5),0)</f>
        <v>4</v>
      </c>
      <c r="BJ21" s="21">
        <f t="shared" ref="BJ21:BJ30" si="55">ROUNDDOWN($BG21/($F21+5),0)</f>
        <v>9</v>
      </c>
      <c r="BK21" s="21">
        <f t="shared" ref="BK21:BK30" si="56">ROUNDDOWN($BH21/($G21+5),0)</f>
        <v>1</v>
      </c>
      <c r="BL21" s="21">
        <f>BI21*BJ21</f>
        <v>36</v>
      </c>
      <c r="BM21" s="21">
        <f>BK21</f>
        <v>1</v>
      </c>
      <c r="BN21" s="21">
        <f>BL21*BM21</f>
        <v>36</v>
      </c>
    </row>
    <row r="22" spans="1:66" x14ac:dyDescent="0.3">
      <c r="A22" s="5" t="str">
        <f t="shared" si="18"/>
        <v>1</v>
      </c>
      <c r="B22" s="6">
        <f t="shared" ref="B22:B30" si="57">$B3</f>
        <v>2</v>
      </c>
      <c r="C22" s="7">
        <f t="shared" ref="C22:C30" si="58">$C3</f>
        <v>14007835</v>
      </c>
      <c r="D22" s="7" t="str">
        <f t="shared" ref="D22:D30" si="59">$D3</f>
        <v>SHROUD UPPER</v>
      </c>
      <c r="E22" s="6">
        <f t="shared" ref="E22:E30" si="60">$E3</f>
        <v>225</v>
      </c>
      <c r="F22" s="6">
        <f t="shared" ref="F22:F30" si="61">$F3</f>
        <v>125</v>
      </c>
      <c r="G22" s="6">
        <f t="shared" ref="G22:G30" si="62">$G3</f>
        <v>190</v>
      </c>
      <c r="H22" s="6">
        <f t="shared" ref="H22:H30" si="63">$H3</f>
        <v>96</v>
      </c>
      <c r="I22" s="6">
        <f t="shared" ref="I22:I30" si="64">$I3</f>
        <v>2</v>
      </c>
      <c r="J22" s="6">
        <f t="shared" ref="J22:J30" si="65">$J3</f>
        <v>192</v>
      </c>
      <c r="K22" s="6">
        <f t="shared" ref="K22:K30" si="66">$K3</f>
        <v>18</v>
      </c>
      <c r="L22" s="5" t="str">
        <f>L21</f>
        <v>FLC ( 1200 x 800 x 975) mm</v>
      </c>
      <c r="M22" s="21">
        <f>VLOOKUP($L22,EQP!$A$2:$S$10,2,0)</f>
        <v>1155</v>
      </c>
      <c r="N22" s="21">
        <f>VLOOKUP($L22,EQP!$A$2:$S$10,3,0)</f>
        <v>755</v>
      </c>
      <c r="O22" s="21">
        <f>VLOOKUP($L22,EQP!$A$2:$S$10,4,0)</f>
        <v>780</v>
      </c>
      <c r="P22" s="21">
        <f t="shared" si="39"/>
        <v>5</v>
      </c>
      <c r="Q22" s="21">
        <f t="shared" si="40"/>
        <v>5</v>
      </c>
      <c r="R22" s="21">
        <f t="shared" si="41"/>
        <v>4</v>
      </c>
      <c r="S22" s="21">
        <f t="shared" ref="S22:S30" si="67">$P22*$Q22</f>
        <v>25</v>
      </c>
      <c r="T22" s="21">
        <f t="shared" ref="T22:T30" si="68">R22</f>
        <v>4</v>
      </c>
      <c r="U22" s="21">
        <f t="shared" ref="U22:U30" si="69">S22*T22</f>
        <v>100</v>
      </c>
      <c r="V22" s="21">
        <f>VLOOKUP($L22,EQP!$A$2:$S$10,5,0)</f>
        <v>755</v>
      </c>
      <c r="W22" s="21">
        <f>VLOOKUP($L22,EQP!$A$2:$S$10,6,0)</f>
        <v>1155</v>
      </c>
      <c r="X22" s="21">
        <f>VLOOKUP($L22,EQP!$A$2:$S$10,7,0)</f>
        <v>780</v>
      </c>
      <c r="Y22" s="21">
        <f t="shared" si="42"/>
        <v>3</v>
      </c>
      <c r="Z22" s="21">
        <f t="shared" si="43"/>
        <v>8</v>
      </c>
      <c r="AA22" s="21">
        <f t="shared" si="44"/>
        <v>4</v>
      </c>
      <c r="AB22" s="21">
        <f t="shared" ref="AB22:AB30" si="70">Y22*Z22</f>
        <v>24</v>
      </c>
      <c r="AC22" s="21">
        <f t="shared" ref="AC22:AC30" si="71">AA22</f>
        <v>4</v>
      </c>
      <c r="AD22" s="21">
        <f t="shared" ref="AD22:AD30" si="72">AB22*AC22</f>
        <v>96</v>
      </c>
      <c r="AE22" s="21">
        <f>VLOOKUP($L22,EQP!$A$2:$S$10,8,0)</f>
        <v>780</v>
      </c>
      <c r="AF22" s="21">
        <f>VLOOKUP($L22,EQP!$A$2:$S$10,9,0)</f>
        <v>1155</v>
      </c>
      <c r="AG22" s="21">
        <f>VLOOKUP($L22,EQP!$A$2:$S$10,10,0)</f>
        <v>755</v>
      </c>
      <c r="AH22" s="21">
        <f t="shared" si="45"/>
        <v>3</v>
      </c>
      <c r="AI22" s="21">
        <f t="shared" si="46"/>
        <v>8</v>
      </c>
      <c r="AJ22" s="21">
        <f t="shared" si="47"/>
        <v>3</v>
      </c>
      <c r="AK22" s="21">
        <f t="shared" ref="AK22:AK30" si="73">AH22*AI22</f>
        <v>24</v>
      </c>
      <c r="AL22" s="21">
        <f t="shared" ref="AL22:AL30" si="74">AJ22</f>
        <v>3</v>
      </c>
      <c r="AM22" s="21">
        <f t="shared" ref="AM22:AM30" si="75">AK22*AL22</f>
        <v>72</v>
      </c>
      <c r="AN22" s="21">
        <f>VLOOKUP($L22,EQP!$A$2:$S$10,11,0)</f>
        <v>780</v>
      </c>
      <c r="AO22" s="21">
        <f>VLOOKUP($L22,EQP!$A$2:$S$10,12,0)</f>
        <v>755</v>
      </c>
      <c r="AP22" s="21">
        <f>VLOOKUP($L22,EQP!$A$2:$S$10,13,0)</f>
        <v>1155</v>
      </c>
      <c r="AQ22" s="21">
        <f t="shared" si="48"/>
        <v>3</v>
      </c>
      <c r="AR22" s="21">
        <f t="shared" si="49"/>
        <v>5</v>
      </c>
      <c r="AS22" s="21">
        <f t="shared" si="50"/>
        <v>5</v>
      </c>
      <c r="AT22" s="21">
        <f t="shared" ref="AT22:AT30" si="76">AQ22*AR22</f>
        <v>15</v>
      </c>
      <c r="AU22" s="21">
        <f t="shared" ref="AU22:AU30" si="77">AS22</f>
        <v>5</v>
      </c>
      <c r="AV22" s="21">
        <f t="shared" ref="AV22:AV30" si="78">AT22*AU22</f>
        <v>75</v>
      </c>
      <c r="AW22" s="21">
        <f>VLOOKUP($L22,EQP!$A$2:$S$10,14,0)</f>
        <v>755</v>
      </c>
      <c r="AX22" s="21">
        <f>VLOOKUP($L22,EQP!$A$2:$S$10,15,0)</f>
        <v>780</v>
      </c>
      <c r="AY22" s="21">
        <f>VLOOKUP($L22,EQP!$A$2:$S$10,16,0)</f>
        <v>1155</v>
      </c>
      <c r="AZ22" s="21">
        <f t="shared" si="51"/>
        <v>3</v>
      </c>
      <c r="BA22" s="21">
        <f t="shared" si="52"/>
        <v>6</v>
      </c>
      <c r="BB22" s="21">
        <f t="shared" si="53"/>
        <v>5</v>
      </c>
      <c r="BC22" s="21">
        <f t="shared" ref="BC22:BC30" si="79">AZ22*BA22</f>
        <v>18</v>
      </c>
      <c r="BD22" s="21">
        <f t="shared" ref="BD22:BD30" si="80">BB22</f>
        <v>5</v>
      </c>
      <c r="BE22" s="21">
        <f t="shared" ref="BE22:BE30" si="81">BC22*BD22</f>
        <v>90</v>
      </c>
      <c r="BF22" s="21">
        <f>VLOOKUP($L22,EQP!$A$2:$S$10,17,0)</f>
        <v>1155</v>
      </c>
      <c r="BG22" s="21">
        <f>VLOOKUP($L22,EQP!$A$2:$S$10,18,0)</f>
        <v>780</v>
      </c>
      <c r="BH22" s="21">
        <f>VLOOKUP($L22,EQP!$A$2:$S$10,19,0)</f>
        <v>755</v>
      </c>
      <c r="BI22" s="21">
        <f t="shared" si="54"/>
        <v>5</v>
      </c>
      <c r="BJ22" s="21">
        <f t="shared" si="55"/>
        <v>6</v>
      </c>
      <c r="BK22" s="21">
        <f t="shared" si="56"/>
        <v>3</v>
      </c>
      <c r="BL22" s="21">
        <f t="shared" ref="BL22:BL30" si="82">BI22*BJ22</f>
        <v>30</v>
      </c>
      <c r="BM22" s="21">
        <f t="shared" ref="BM22:BM30" si="83">BK22</f>
        <v>3</v>
      </c>
      <c r="BN22" s="21">
        <f t="shared" ref="BN22:BN30" si="84">BL22*BM22</f>
        <v>90</v>
      </c>
    </row>
    <row r="23" spans="1:66" x14ac:dyDescent="0.3">
      <c r="A23" s="5" t="str">
        <f t="shared" si="18"/>
        <v>1</v>
      </c>
      <c r="B23" s="6">
        <f t="shared" si="57"/>
        <v>3</v>
      </c>
      <c r="C23" s="7">
        <f t="shared" si="58"/>
        <v>14007836</v>
      </c>
      <c r="D23" s="7" t="str">
        <f t="shared" si="59"/>
        <v>SHROUD LOWER</v>
      </c>
      <c r="E23" s="6">
        <f t="shared" si="60"/>
        <v>435</v>
      </c>
      <c r="F23" s="6">
        <f t="shared" si="61"/>
        <v>100</v>
      </c>
      <c r="G23" s="6">
        <f t="shared" si="62"/>
        <v>210</v>
      </c>
      <c r="H23" s="6">
        <f t="shared" si="63"/>
        <v>48</v>
      </c>
      <c r="I23" s="6">
        <f t="shared" si="64"/>
        <v>1</v>
      </c>
      <c r="J23" s="6">
        <f t="shared" si="65"/>
        <v>48</v>
      </c>
      <c r="K23" s="6">
        <f t="shared" si="66"/>
        <v>75</v>
      </c>
      <c r="L23" s="5" t="str">
        <f t="shared" ref="L23:L30" si="85">L22</f>
        <v>FLC ( 1200 x 800 x 975) mm</v>
      </c>
      <c r="M23" s="21">
        <f>VLOOKUP($L23,EQP!$A$2:$S$10,2,0)</f>
        <v>1155</v>
      </c>
      <c r="N23" s="21">
        <f>VLOOKUP($L23,EQP!$A$2:$S$10,3,0)</f>
        <v>755</v>
      </c>
      <c r="O23" s="21">
        <f>VLOOKUP($L23,EQP!$A$2:$S$10,4,0)</f>
        <v>780</v>
      </c>
      <c r="P23" s="21">
        <f t="shared" si="39"/>
        <v>2</v>
      </c>
      <c r="Q23" s="21">
        <f t="shared" si="40"/>
        <v>7</v>
      </c>
      <c r="R23" s="21">
        <f t="shared" si="41"/>
        <v>3</v>
      </c>
      <c r="S23" s="21">
        <f t="shared" si="67"/>
        <v>14</v>
      </c>
      <c r="T23" s="21">
        <f t="shared" si="68"/>
        <v>3</v>
      </c>
      <c r="U23" s="21">
        <f t="shared" si="69"/>
        <v>42</v>
      </c>
      <c r="V23" s="21">
        <f>VLOOKUP($L23,EQP!$A$2:$S$10,5,0)</f>
        <v>755</v>
      </c>
      <c r="W23" s="21">
        <f>VLOOKUP($L23,EQP!$A$2:$S$10,6,0)</f>
        <v>1155</v>
      </c>
      <c r="X23" s="21">
        <f>VLOOKUP($L23,EQP!$A$2:$S$10,7,0)</f>
        <v>780</v>
      </c>
      <c r="Y23" s="21">
        <f t="shared" si="42"/>
        <v>1</v>
      </c>
      <c r="Z23" s="21">
        <f t="shared" si="43"/>
        <v>11</v>
      </c>
      <c r="AA23" s="21">
        <f t="shared" si="44"/>
        <v>3</v>
      </c>
      <c r="AB23" s="21">
        <f t="shared" si="70"/>
        <v>11</v>
      </c>
      <c r="AC23" s="21">
        <f t="shared" si="71"/>
        <v>3</v>
      </c>
      <c r="AD23" s="21">
        <f t="shared" si="72"/>
        <v>33</v>
      </c>
      <c r="AE23" s="21">
        <f>VLOOKUP($L23,EQP!$A$2:$S$10,8,0)</f>
        <v>780</v>
      </c>
      <c r="AF23" s="21">
        <f>VLOOKUP($L23,EQP!$A$2:$S$10,9,0)</f>
        <v>1155</v>
      </c>
      <c r="AG23" s="21">
        <f>VLOOKUP($L23,EQP!$A$2:$S$10,10,0)</f>
        <v>755</v>
      </c>
      <c r="AH23" s="21">
        <f t="shared" si="45"/>
        <v>1</v>
      </c>
      <c r="AI23" s="21">
        <f t="shared" si="46"/>
        <v>11</v>
      </c>
      <c r="AJ23" s="21">
        <f t="shared" si="47"/>
        <v>3</v>
      </c>
      <c r="AK23" s="21">
        <f t="shared" si="73"/>
        <v>11</v>
      </c>
      <c r="AL23" s="21">
        <f t="shared" si="74"/>
        <v>3</v>
      </c>
      <c r="AM23" s="21">
        <f t="shared" si="75"/>
        <v>33</v>
      </c>
      <c r="AN23" s="21">
        <f>VLOOKUP($L23,EQP!$A$2:$S$10,11,0)</f>
        <v>780</v>
      </c>
      <c r="AO23" s="21">
        <f>VLOOKUP($L23,EQP!$A$2:$S$10,12,0)</f>
        <v>755</v>
      </c>
      <c r="AP23" s="21">
        <f>VLOOKUP($L23,EQP!$A$2:$S$10,13,0)</f>
        <v>1155</v>
      </c>
      <c r="AQ23" s="21">
        <f t="shared" si="48"/>
        <v>1</v>
      </c>
      <c r="AR23" s="21">
        <f t="shared" si="49"/>
        <v>7</v>
      </c>
      <c r="AS23" s="21">
        <f t="shared" si="50"/>
        <v>5</v>
      </c>
      <c r="AT23" s="21">
        <f t="shared" si="76"/>
        <v>7</v>
      </c>
      <c r="AU23" s="21">
        <f t="shared" si="77"/>
        <v>5</v>
      </c>
      <c r="AV23" s="21">
        <f t="shared" si="78"/>
        <v>35</v>
      </c>
      <c r="AW23" s="21">
        <f>VLOOKUP($L23,EQP!$A$2:$S$10,14,0)</f>
        <v>755</v>
      </c>
      <c r="AX23" s="21">
        <f>VLOOKUP($L23,EQP!$A$2:$S$10,15,0)</f>
        <v>780</v>
      </c>
      <c r="AY23" s="21">
        <f>VLOOKUP($L23,EQP!$A$2:$S$10,16,0)</f>
        <v>1155</v>
      </c>
      <c r="AZ23" s="21">
        <f t="shared" si="51"/>
        <v>1</v>
      </c>
      <c r="BA23" s="21">
        <f t="shared" si="52"/>
        <v>7</v>
      </c>
      <c r="BB23" s="21">
        <f t="shared" si="53"/>
        <v>5</v>
      </c>
      <c r="BC23" s="21">
        <f t="shared" si="79"/>
        <v>7</v>
      </c>
      <c r="BD23" s="21">
        <f t="shared" si="80"/>
        <v>5</v>
      </c>
      <c r="BE23" s="21">
        <f t="shared" si="81"/>
        <v>35</v>
      </c>
      <c r="BF23" s="21">
        <f>VLOOKUP($L23,EQP!$A$2:$S$10,17,0)</f>
        <v>1155</v>
      </c>
      <c r="BG23" s="21">
        <f>VLOOKUP($L23,EQP!$A$2:$S$10,18,0)</f>
        <v>780</v>
      </c>
      <c r="BH23" s="21">
        <f>VLOOKUP($L23,EQP!$A$2:$S$10,19,0)</f>
        <v>755</v>
      </c>
      <c r="BI23" s="21">
        <f t="shared" si="54"/>
        <v>2</v>
      </c>
      <c r="BJ23" s="21">
        <f t="shared" si="55"/>
        <v>7</v>
      </c>
      <c r="BK23" s="21">
        <f t="shared" si="56"/>
        <v>3</v>
      </c>
      <c r="BL23" s="21">
        <f t="shared" si="82"/>
        <v>14</v>
      </c>
      <c r="BM23" s="21">
        <f t="shared" si="83"/>
        <v>3</v>
      </c>
      <c r="BN23" s="21">
        <f t="shared" si="84"/>
        <v>42</v>
      </c>
    </row>
    <row r="24" spans="1:66" x14ac:dyDescent="0.3">
      <c r="A24" s="5" t="str">
        <f t="shared" si="18"/>
        <v>1</v>
      </c>
      <c r="B24" s="6">
        <f t="shared" si="57"/>
        <v>4</v>
      </c>
      <c r="C24" s="7">
        <f t="shared" si="58"/>
        <v>14007837</v>
      </c>
      <c r="D24" s="7" t="str">
        <f t="shared" si="59"/>
        <v>CLUSTER BEZEL LOWER ASSY</v>
      </c>
      <c r="E24" s="6">
        <f t="shared" si="60"/>
        <v>365</v>
      </c>
      <c r="F24" s="6">
        <f t="shared" si="61"/>
        <v>63</v>
      </c>
      <c r="G24" s="6">
        <f t="shared" si="62"/>
        <v>225</v>
      </c>
      <c r="H24" s="6">
        <f t="shared" si="63"/>
        <v>96</v>
      </c>
      <c r="I24" s="6">
        <f t="shared" si="64"/>
        <v>1</v>
      </c>
      <c r="J24" s="6">
        <f t="shared" si="65"/>
        <v>96</v>
      </c>
      <c r="K24" s="6">
        <f t="shared" si="66"/>
        <v>38</v>
      </c>
      <c r="L24" s="5" t="str">
        <f t="shared" si="85"/>
        <v>FLC ( 1200 x 800 x 975) mm</v>
      </c>
      <c r="M24" s="21">
        <f>VLOOKUP($L24,EQP!$A$2:$S$10,2,0)</f>
        <v>1155</v>
      </c>
      <c r="N24" s="21">
        <f>VLOOKUP($L24,EQP!$A$2:$S$10,3,0)</f>
        <v>755</v>
      </c>
      <c r="O24" s="21">
        <f>VLOOKUP($L24,EQP!$A$2:$S$10,4,0)</f>
        <v>780</v>
      </c>
      <c r="P24" s="21">
        <f t="shared" si="39"/>
        <v>3</v>
      </c>
      <c r="Q24" s="21">
        <f t="shared" si="40"/>
        <v>11</v>
      </c>
      <c r="R24" s="21">
        <f t="shared" si="41"/>
        <v>3</v>
      </c>
      <c r="S24" s="21">
        <f t="shared" si="67"/>
        <v>33</v>
      </c>
      <c r="T24" s="21">
        <f t="shared" si="68"/>
        <v>3</v>
      </c>
      <c r="U24" s="21">
        <f t="shared" si="69"/>
        <v>99</v>
      </c>
      <c r="V24" s="21">
        <f>VLOOKUP($L24,EQP!$A$2:$S$10,5,0)</f>
        <v>755</v>
      </c>
      <c r="W24" s="21">
        <f>VLOOKUP($L24,EQP!$A$2:$S$10,6,0)</f>
        <v>1155</v>
      </c>
      <c r="X24" s="21">
        <f>VLOOKUP($L24,EQP!$A$2:$S$10,7,0)</f>
        <v>780</v>
      </c>
      <c r="Y24" s="21">
        <f t="shared" si="42"/>
        <v>2</v>
      </c>
      <c r="Z24" s="21">
        <f t="shared" si="43"/>
        <v>16</v>
      </c>
      <c r="AA24" s="21">
        <f t="shared" si="44"/>
        <v>3</v>
      </c>
      <c r="AB24" s="21">
        <f t="shared" si="70"/>
        <v>32</v>
      </c>
      <c r="AC24" s="21">
        <f t="shared" si="71"/>
        <v>3</v>
      </c>
      <c r="AD24" s="21">
        <f t="shared" si="72"/>
        <v>96</v>
      </c>
      <c r="AE24" s="21">
        <f>VLOOKUP($L24,EQP!$A$2:$S$10,8,0)</f>
        <v>780</v>
      </c>
      <c r="AF24" s="21">
        <f>VLOOKUP($L24,EQP!$A$2:$S$10,9,0)</f>
        <v>1155</v>
      </c>
      <c r="AG24" s="21">
        <f>VLOOKUP($L24,EQP!$A$2:$S$10,10,0)</f>
        <v>755</v>
      </c>
      <c r="AH24" s="21">
        <f t="shared" si="45"/>
        <v>2</v>
      </c>
      <c r="AI24" s="21">
        <f t="shared" si="46"/>
        <v>16</v>
      </c>
      <c r="AJ24" s="21">
        <f t="shared" si="47"/>
        <v>3</v>
      </c>
      <c r="AK24" s="21">
        <f t="shared" si="73"/>
        <v>32</v>
      </c>
      <c r="AL24" s="21">
        <f t="shared" si="74"/>
        <v>3</v>
      </c>
      <c r="AM24" s="21">
        <f t="shared" si="75"/>
        <v>96</v>
      </c>
      <c r="AN24" s="21">
        <f>VLOOKUP($L24,EQP!$A$2:$S$10,11,0)</f>
        <v>780</v>
      </c>
      <c r="AO24" s="21">
        <f>VLOOKUP($L24,EQP!$A$2:$S$10,12,0)</f>
        <v>755</v>
      </c>
      <c r="AP24" s="21">
        <f>VLOOKUP($L24,EQP!$A$2:$S$10,13,0)</f>
        <v>1155</v>
      </c>
      <c r="AQ24" s="21">
        <f t="shared" si="48"/>
        <v>2</v>
      </c>
      <c r="AR24" s="21">
        <f t="shared" si="49"/>
        <v>11</v>
      </c>
      <c r="AS24" s="21">
        <f t="shared" si="50"/>
        <v>5</v>
      </c>
      <c r="AT24" s="21">
        <f t="shared" si="76"/>
        <v>22</v>
      </c>
      <c r="AU24" s="21">
        <f t="shared" si="77"/>
        <v>5</v>
      </c>
      <c r="AV24" s="21">
        <f t="shared" si="78"/>
        <v>110</v>
      </c>
      <c r="AW24" s="21">
        <f>VLOOKUP($L24,EQP!$A$2:$S$10,14,0)</f>
        <v>755</v>
      </c>
      <c r="AX24" s="21">
        <f>VLOOKUP($L24,EQP!$A$2:$S$10,15,0)</f>
        <v>780</v>
      </c>
      <c r="AY24" s="21">
        <f>VLOOKUP($L24,EQP!$A$2:$S$10,16,0)</f>
        <v>1155</v>
      </c>
      <c r="AZ24" s="21">
        <f t="shared" si="51"/>
        <v>2</v>
      </c>
      <c r="BA24" s="21">
        <f t="shared" si="52"/>
        <v>11</v>
      </c>
      <c r="BB24" s="21">
        <f t="shared" si="53"/>
        <v>5</v>
      </c>
      <c r="BC24" s="21">
        <f t="shared" si="79"/>
        <v>22</v>
      </c>
      <c r="BD24" s="21">
        <f t="shared" si="80"/>
        <v>5</v>
      </c>
      <c r="BE24" s="21">
        <f t="shared" si="81"/>
        <v>110</v>
      </c>
      <c r="BF24" s="21">
        <f>VLOOKUP($L24,EQP!$A$2:$S$10,17,0)</f>
        <v>1155</v>
      </c>
      <c r="BG24" s="21">
        <f>VLOOKUP($L24,EQP!$A$2:$S$10,18,0)</f>
        <v>780</v>
      </c>
      <c r="BH24" s="21">
        <f>VLOOKUP($L24,EQP!$A$2:$S$10,19,0)</f>
        <v>755</v>
      </c>
      <c r="BI24" s="21">
        <f t="shared" si="54"/>
        <v>3</v>
      </c>
      <c r="BJ24" s="21">
        <f t="shared" si="55"/>
        <v>11</v>
      </c>
      <c r="BK24" s="21">
        <f t="shared" si="56"/>
        <v>3</v>
      </c>
      <c r="BL24" s="21">
        <f t="shared" si="82"/>
        <v>33</v>
      </c>
      <c r="BM24" s="21">
        <f t="shared" si="83"/>
        <v>3</v>
      </c>
      <c r="BN24" s="21">
        <f t="shared" si="84"/>
        <v>99</v>
      </c>
    </row>
    <row r="25" spans="1:66" x14ac:dyDescent="0.3">
      <c r="A25" s="5" t="str">
        <f t="shared" si="18"/>
        <v>1</v>
      </c>
      <c r="B25" s="6">
        <f t="shared" si="57"/>
        <v>5</v>
      </c>
      <c r="C25" s="7">
        <f t="shared" si="58"/>
        <v>14007838</v>
      </c>
      <c r="D25" s="7" t="str">
        <f t="shared" si="59"/>
        <v>DRIVER SIDE BOOSTER COVER ASSY</v>
      </c>
      <c r="E25" s="6">
        <f t="shared" si="60"/>
        <v>410</v>
      </c>
      <c r="F25" s="6">
        <f t="shared" si="61"/>
        <v>280</v>
      </c>
      <c r="G25" s="6">
        <f t="shared" si="62"/>
        <v>160</v>
      </c>
      <c r="H25" s="6">
        <f t="shared" si="63"/>
        <v>16</v>
      </c>
      <c r="I25" s="6">
        <f t="shared" si="64"/>
        <v>1</v>
      </c>
      <c r="J25" s="6">
        <f t="shared" si="65"/>
        <v>16</v>
      </c>
      <c r="K25" s="6">
        <f t="shared" si="66"/>
        <v>202</v>
      </c>
      <c r="L25" s="5" t="str">
        <f t="shared" si="85"/>
        <v>FLC ( 1200 x 800 x 975) mm</v>
      </c>
      <c r="M25" s="21">
        <f>VLOOKUP($L25,EQP!$A$2:$S$10,2,0)</f>
        <v>1155</v>
      </c>
      <c r="N25" s="21">
        <f>VLOOKUP($L25,EQP!$A$2:$S$10,3,0)</f>
        <v>755</v>
      </c>
      <c r="O25" s="21">
        <f>VLOOKUP($L25,EQP!$A$2:$S$10,4,0)</f>
        <v>780</v>
      </c>
      <c r="P25" s="21">
        <f t="shared" si="39"/>
        <v>2</v>
      </c>
      <c r="Q25" s="21">
        <f t="shared" si="40"/>
        <v>2</v>
      </c>
      <c r="R25" s="21">
        <f t="shared" si="41"/>
        <v>4</v>
      </c>
      <c r="S25" s="21">
        <f t="shared" si="67"/>
        <v>4</v>
      </c>
      <c r="T25" s="21">
        <f t="shared" si="68"/>
        <v>4</v>
      </c>
      <c r="U25" s="21">
        <f t="shared" si="69"/>
        <v>16</v>
      </c>
      <c r="V25" s="21">
        <f>VLOOKUP($L25,EQP!$A$2:$S$10,5,0)</f>
        <v>755</v>
      </c>
      <c r="W25" s="21">
        <f>VLOOKUP($L25,EQP!$A$2:$S$10,6,0)</f>
        <v>1155</v>
      </c>
      <c r="X25" s="21">
        <f>VLOOKUP($L25,EQP!$A$2:$S$10,7,0)</f>
        <v>780</v>
      </c>
      <c r="Y25" s="21">
        <f t="shared" si="42"/>
        <v>1</v>
      </c>
      <c r="Z25" s="21">
        <f t="shared" si="43"/>
        <v>4</v>
      </c>
      <c r="AA25" s="21">
        <f t="shared" si="44"/>
        <v>4</v>
      </c>
      <c r="AB25" s="21">
        <f t="shared" si="70"/>
        <v>4</v>
      </c>
      <c r="AC25" s="21">
        <f t="shared" si="71"/>
        <v>4</v>
      </c>
      <c r="AD25" s="21">
        <f t="shared" si="72"/>
        <v>16</v>
      </c>
      <c r="AE25" s="21">
        <f>VLOOKUP($L25,EQP!$A$2:$S$10,8,0)</f>
        <v>780</v>
      </c>
      <c r="AF25" s="21">
        <f>VLOOKUP($L25,EQP!$A$2:$S$10,9,0)</f>
        <v>1155</v>
      </c>
      <c r="AG25" s="21">
        <f>VLOOKUP($L25,EQP!$A$2:$S$10,10,0)</f>
        <v>755</v>
      </c>
      <c r="AH25" s="21">
        <f t="shared" si="45"/>
        <v>1</v>
      </c>
      <c r="AI25" s="21">
        <f t="shared" si="46"/>
        <v>4</v>
      </c>
      <c r="AJ25" s="21">
        <f t="shared" si="47"/>
        <v>4</v>
      </c>
      <c r="AK25" s="21">
        <f t="shared" si="73"/>
        <v>4</v>
      </c>
      <c r="AL25" s="21">
        <f t="shared" si="74"/>
        <v>4</v>
      </c>
      <c r="AM25" s="21">
        <f t="shared" si="75"/>
        <v>16</v>
      </c>
      <c r="AN25" s="21">
        <f>VLOOKUP($L25,EQP!$A$2:$S$10,11,0)</f>
        <v>780</v>
      </c>
      <c r="AO25" s="21">
        <f>VLOOKUP($L25,EQP!$A$2:$S$10,12,0)</f>
        <v>755</v>
      </c>
      <c r="AP25" s="21">
        <f>VLOOKUP($L25,EQP!$A$2:$S$10,13,0)</f>
        <v>1155</v>
      </c>
      <c r="AQ25" s="21">
        <f t="shared" si="48"/>
        <v>1</v>
      </c>
      <c r="AR25" s="21">
        <f t="shared" si="49"/>
        <v>2</v>
      </c>
      <c r="AS25" s="21">
        <f t="shared" si="50"/>
        <v>7</v>
      </c>
      <c r="AT25" s="21">
        <f t="shared" si="76"/>
        <v>2</v>
      </c>
      <c r="AU25" s="21">
        <f t="shared" si="77"/>
        <v>7</v>
      </c>
      <c r="AV25" s="21">
        <f t="shared" si="78"/>
        <v>14</v>
      </c>
      <c r="AW25" s="21">
        <f>VLOOKUP($L25,EQP!$A$2:$S$10,14,0)</f>
        <v>755</v>
      </c>
      <c r="AX25" s="21">
        <f>VLOOKUP($L25,EQP!$A$2:$S$10,15,0)</f>
        <v>780</v>
      </c>
      <c r="AY25" s="21">
        <f>VLOOKUP($L25,EQP!$A$2:$S$10,16,0)</f>
        <v>1155</v>
      </c>
      <c r="AZ25" s="21">
        <f t="shared" si="51"/>
        <v>1</v>
      </c>
      <c r="BA25" s="21">
        <f t="shared" si="52"/>
        <v>2</v>
      </c>
      <c r="BB25" s="21">
        <f t="shared" si="53"/>
        <v>7</v>
      </c>
      <c r="BC25" s="21">
        <f t="shared" si="79"/>
        <v>2</v>
      </c>
      <c r="BD25" s="21">
        <f t="shared" si="80"/>
        <v>7</v>
      </c>
      <c r="BE25" s="21">
        <f t="shared" si="81"/>
        <v>14</v>
      </c>
      <c r="BF25" s="21">
        <f>VLOOKUP($L25,EQP!$A$2:$S$10,17,0)</f>
        <v>1155</v>
      </c>
      <c r="BG25" s="21">
        <f>VLOOKUP($L25,EQP!$A$2:$S$10,18,0)</f>
        <v>780</v>
      </c>
      <c r="BH25" s="21">
        <f>VLOOKUP($L25,EQP!$A$2:$S$10,19,0)</f>
        <v>755</v>
      </c>
      <c r="BI25" s="21">
        <f t="shared" si="54"/>
        <v>2</v>
      </c>
      <c r="BJ25" s="21">
        <f t="shared" si="55"/>
        <v>2</v>
      </c>
      <c r="BK25" s="21">
        <f t="shared" si="56"/>
        <v>4</v>
      </c>
      <c r="BL25" s="21">
        <f t="shared" si="82"/>
        <v>4</v>
      </c>
      <c r="BM25" s="21">
        <f t="shared" si="83"/>
        <v>4</v>
      </c>
      <c r="BN25" s="21">
        <f t="shared" si="84"/>
        <v>16</v>
      </c>
    </row>
    <row r="26" spans="1:66" x14ac:dyDescent="0.3">
      <c r="A26" s="5" t="str">
        <f t="shared" si="18"/>
        <v>1</v>
      </c>
      <c r="B26" s="6">
        <f t="shared" si="57"/>
        <v>6</v>
      </c>
      <c r="C26" s="7">
        <f t="shared" si="58"/>
        <v>14007839</v>
      </c>
      <c r="D26" s="7" t="str">
        <f t="shared" si="59"/>
        <v>PASSENGER SIDE KNEE COVER RHD ASSY</v>
      </c>
      <c r="E26" s="6">
        <f t="shared" si="60"/>
        <v>380</v>
      </c>
      <c r="F26" s="6">
        <f t="shared" si="61"/>
        <v>110</v>
      </c>
      <c r="G26" s="6">
        <f t="shared" si="62"/>
        <v>295</v>
      </c>
      <c r="H26" s="6">
        <f t="shared" si="63"/>
        <v>64</v>
      </c>
      <c r="I26" s="6">
        <f t="shared" si="64"/>
        <v>1</v>
      </c>
      <c r="J26" s="6">
        <f t="shared" si="65"/>
        <v>64</v>
      </c>
      <c r="K26" s="6">
        <f t="shared" si="66"/>
        <v>50</v>
      </c>
      <c r="L26" s="5" t="str">
        <f t="shared" si="85"/>
        <v>FLC ( 1200 x 800 x 975) mm</v>
      </c>
      <c r="M26" s="21">
        <f>VLOOKUP($L26,EQP!$A$2:$S$10,2,0)</f>
        <v>1155</v>
      </c>
      <c r="N26" s="21">
        <f>VLOOKUP($L26,EQP!$A$2:$S$10,3,0)</f>
        <v>755</v>
      </c>
      <c r="O26" s="21">
        <f>VLOOKUP($L26,EQP!$A$2:$S$10,4,0)</f>
        <v>780</v>
      </c>
      <c r="P26" s="21">
        <f t="shared" si="39"/>
        <v>3</v>
      </c>
      <c r="Q26" s="21">
        <f t="shared" si="40"/>
        <v>6</v>
      </c>
      <c r="R26" s="21">
        <f t="shared" si="41"/>
        <v>2</v>
      </c>
      <c r="S26" s="21">
        <f t="shared" si="67"/>
        <v>18</v>
      </c>
      <c r="T26" s="21">
        <f t="shared" si="68"/>
        <v>2</v>
      </c>
      <c r="U26" s="21">
        <f t="shared" si="69"/>
        <v>36</v>
      </c>
      <c r="V26" s="21">
        <f>VLOOKUP($L26,EQP!$A$2:$S$10,5,0)</f>
        <v>755</v>
      </c>
      <c r="W26" s="21">
        <f>VLOOKUP($L26,EQP!$A$2:$S$10,6,0)</f>
        <v>1155</v>
      </c>
      <c r="X26" s="21">
        <f>VLOOKUP($L26,EQP!$A$2:$S$10,7,0)</f>
        <v>780</v>
      </c>
      <c r="Y26" s="21">
        <f t="shared" si="42"/>
        <v>1</v>
      </c>
      <c r="Z26" s="21">
        <f t="shared" si="43"/>
        <v>10</v>
      </c>
      <c r="AA26" s="21">
        <f t="shared" si="44"/>
        <v>2</v>
      </c>
      <c r="AB26" s="21">
        <f t="shared" si="70"/>
        <v>10</v>
      </c>
      <c r="AC26" s="21">
        <f t="shared" si="71"/>
        <v>2</v>
      </c>
      <c r="AD26" s="21">
        <f t="shared" si="72"/>
        <v>20</v>
      </c>
      <c r="AE26" s="21">
        <f>VLOOKUP($L26,EQP!$A$2:$S$10,8,0)</f>
        <v>780</v>
      </c>
      <c r="AF26" s="21">
        <f>VLOOKUP($L26,EQP!$A$2:$S$10,9,0)</f>
        <v>1155</v>
      </c>
      <c r="AG26" s="21">
        <f>VLOOKUP($L26,EQP!$A$2:$S$10,10,0)</f>
        <v>755</v>
      </c>
      <c r="AH26" s="21">
        <f t="shared" si="45"/>
        <v>2</v>
      </c>
      <c r="AI26" s="21">
        <f t="shared" si="46"/>
        <v>10</v>
      </c>
      <c r="AJ26" s="21">
        <f t="shared" si="47"/>
        <v>2</v>
      </c>
      <c r="AK26" s="21">
        <f t="shared" si="73"/>
        <v>20</v>
      </c>
      <c r="AL26" s="21">
        <f t="shared" si="74"/>
        <v>2</v>
      </c>
      <c r="AM26" s="21">
        <f t="shared" si="75"/>
        <v>40</v>
      </c>
      <c r="AN26" s="21">
        <f>VLOOKUP($L26,EQP!$A$2:$S$10,11,0)</f>
        <v>780</v>
      </c>
      <c r="AO26" s="21">
        <f>VLOOKUP($L26,EQP!$A$2:$S$10,12,0)</f>
        <v>755</v>
      </c>
      <c r="AP26" s="21">
        <f>VLOOKUP($L26,EQP!$A$2:$S$10,13,0)</f>
        <v>1155</v>
      </c>
      <c r="AQ26" s="21">
        <f t="shared" si="48"/>
        <v>2</v>
      </c>
      <c r="AR26" s="21">
        <f t="shared" si="49"/>
        <v>6</v>
      </c>
      <c r="AS26" s="21">
        <f t="shared" si="50"/>
        <v>3</v>
      </c>
      <c r="AT26" s="21">
        <f t="shared" si="76"/>
        <v>12</v>
      </c>
      <c r="AU26" s="21">
        <f t="shared" si="77"/>
        <v>3</v>
      </c>
      <c r="AV26" s="21">
        <f t="shared" si="78"/>
        <v>36</v>
      </c>
      <c r="AW26" s="21">
        <f>VLOOKUP($L26,EQP!$A$2:$S$10,14,0)</f>
        <v>755</v>
      </c>
      <c r="AX26" s="21">
        <f>VLOOKUP($L26,EQP!$A$2:$S$10,15,0)</f>
        <v>780</v>
      </c>
      <c r="AY26" s="21">
        <f>VLOOKUP($L26,EQP!$A$2:$S$10,16,0)</f>
        <v>1155</v>
      </c>
      <c r="AZ26" s="21">
        <f t="shared" si="51"/>
        <v>1</v>
      </c>
      <c r="BA26" s="21">
        <f t="shared" si="52"/>
        <v>6</v>
      </c>
      <c r="BB26" s="21">
        <f t="shared" si="53"/>
        <v>3</v>
      </c>
      <c r="BC26" s="21">
        <f t="shared" si="79"/>
        <v>6</v>
      </c>
      <c r="BD26" s="21">
        <f t="shared" si="80"/>
        <v>3</v>
      </c>
      <c r="BE26" s="21">
        <f t="shared" si="81"/>
        <v>18</v>
      </c>
      <c r="BF26" s="21">
        <f>VLOOKUP($L26,EQP!$A$2:$S$10,17,0)</f>
        <v>1155</v>
      </c>
      <c r="BG26" s="21">
        <f>VLOOKUP($L26,EQP!$A$2:$S$10,18,0)</f>
        <v>780</v>
      </c>
      <c r="BH26" s="21">
        <f>VLOOKUP($L26,EQP!$A$2:$S$10,19,0)</f>
        <v>755</v>
      </c>
      <c r="BI26" s="21">
        <f t="shared" si="54"/>
        <v>3</v>
      </c>
      <c r="BJ26" s="21">
        <f t="shared" si="55"/>
        <v>6</v>
      </c>
      <c r="BK26" s="21">
        <f t="shared" si="56"/>
        <v>2</v>
      </c>
      <c r="BL26" s="21">
        <f t="shared" si="82"/>
        <v>18</v>
      </c>
      <c r="BM26" s="21">
        <f t="shared" si="83"/>
        <v>2</v>
      </c>
      <c r="BN26" s="21">
        <f t="shared" si="84"/>
        <v>36</v>
      </c>
    </row>
    <row r="27" spans="1:66" x14ac:dyDescent="0.3">
      <c r="A27" s="5" t="str">
        <f t="shared" si="18"/>
        <v>1</v>
      </c>
      <c r="B27" s="6">
        <f t="shared" si="57"/>
        <v>7</v>
      </c>
      <c r="C27" s="7">
        <f t="shared" si="58"/>
        <v>14007840</v>
      </c>
      <c r="D27" s="7" t="str">
        <f t="shared" si="59"/>
        <v>END CAP LH ASSY</v>
      </c>
      <c r="E27" s="6">
        <f t="shared" si="60"/>
        <v>130</v>
      </c>
      <c r="F27" s="6">
        <f t="shared" si="61"/>
        <v>50</v>
      </c>
      <c r="G27" s="6">
        <f t="shared" si="62"/>
        <v>385</v>
      </c>
      <c r="H27" s="6">
        <f t="shared" si="63"/>
        <v>192</v>
      </c>
      <c r="I27" s="6">
        <f t="shared" si="64"/>
        <v>1</v>
      </c>
      <c r="J27" s="6">
        <f t="shared" si="65"/>
        <v>192</v>
      </c>
      <c r="K27" s="6">
        <f t="shared" si="66"/>
        <v>18</v>
      </c>
      <c r="L27" s="5" t="str">
        <f t="shared" si="85"/>
        <v>FLC ( 1200 x 800 x 975) mm</v>
      </c>
      <c r="M27" s="21">
        <f>VLOOKUP($L27,EQP!$A$2:$S$10,2,0)</f>
        <v>1155</v>
      </c>
      <c r="N27" s="21">
        <f>VLOOKUP($L27,EQP!$A$2:$S$10,3,0)</f>
        <v>755</v>
      </c>
      <c r="O27" s="21">
        <f>VLOOKUP($L27,EQP!$A$2:$S$10,4,0)</f>
        <v>780</v>
      </c>
      <c r="P27" s="21">
        <f t="shared" si="39"/>
        <v>8</v>
      </c>
      <c r="Q27" s="21">
        <f t="shared" si="40"/>
        <v>13</v>
      </c>
      <c r="R27" s="21">
        <f t="shared" si="41"/>
        <v>2</v>
      </c>
      <c r="S27" s="21">
        <f t="shared" si="67"/>
        <v>104</v>
      </c>
      <c r="T27" s="21">
        <f t="shared" si="68"/>
        <v>2</v>
      </c>
      <c r="U27" s="21">
        <f t="shared" si="69"/>
        <v>208</v>
      </c>
      <c r="V27" s="21">
        <f>VLOOKUP($L27,EQP!$A$2:$S$10,5,0)</f>
        <v>755</v>
      </c>
      <c r="W27" s="21">
        <f>VLOOKUP($L27,EQP!$A$2:$S$10,6,0)</f>
        <v>1155</v>
      </c>
      <c r="X27" s="21">
        <f>VLOOKUP($L27,EQP!$A$2:$S$10,7,0)</f>
        <v>780</v>
      </c>
      <c r="Y27" s="21">
        <f t="shared" si="42"/>
        <v>5</v>
      </c>
      <c r="Z27" s="21">
        <f t="shared" si="43"/>
        <v>21</v>
      </c>
      <c r="AA27" s="21">
        <f t="shared" si="44"/>
        <v>2</v>
      </c>
      <c r="AB27" s="21">
        <f t="shared" si="70"/>
        <v>105</v>
      </c>
      <c r="AC27" s="21">
        <f t="shared" si="71"/>
        <v>2</v>
      </c>
      <c r="AD27" s="21">
        <f t="shared" si="72"/>
        <v>210</v>
      </c>
      <c r="AE27" s="21">
        <f>VLOOKUP($L27,EQP!$A$2:$S$10,8,0)</f>
        <v>780</v>
      </c>
      <c r="AF27" s="21">
        <f>VLOOKUP($L27,EQP!$A$2:$S$10,9,0)</f>
        <v>1155</v>
      </c>
      <c r="AG27" s="21">
        <f>VLOOKUP($L27,EQP!$A$2:$S$10,10,0)</f>
        <v>755</v>
      </c>
      <c r="AH27" s="21">
        <f t="shared" si="45"/>
        <v>5</v>
      </c>
      <c r="AI27" s="21">
        <f t="shared" si="46"/>
        <v>21</v>
      </c>
      <c r="AJ27" s="21">
        <f t="shared" si="47"/>
        <v>1</v>
      </c>
      <c r="AK27" s="21">
        <f t="shared" si="73"/>
        <v>105</v>
      </c>
      <c r="AL27" s="21">
        <f t="shared" si="74"/>
        <v>1</v>
      </c>
      <c r="AM27" s="21">
        <f t="shared" si="75"/>
        <v>105</v>
      </c>
      <c r="AN27" s="21">
        <f>VLOOKUP($L27,EQP!$A$2:$S$10,11,0)</f>
        <v>780</v>
      </c>
      <c r="AO27" s="21">
        <f>VLOOKUP($L27,EQP!$A$2:$S$10,12,0)</f>
        <v>755</v>
      </c>
      <c r="AP27" s="21">
        <f>VLOOKUP($L27,EQP!$A$2:$S$10,13,0)</f>
        <v>1155</v>
      </c>
      <c r="AQ27" s="21">
        <f t="shared" si="48"/>
        <v>5</v>
      </c>
      <c r="AR27" s="21">
        <f t="shared" si="49"/>
        <v>13</v>
      </c>
      <c r="AS27" s="21">
        <f t="shared" si="50"/>
        <v>2</v>
      </c>
      <c r="AT27" s="21">
        <f t="shared" si="76"/>
        <v>65</v>
      </c>
      <c r="AU27" s="21">
        <f t="shared" si="77"/>
        <v>2</v>
      </c>
      <c r="AV27" s="21">
        <f t="shared" si="78"/>
        <v>130</v>
      </c>
      <c r="AW27" s="21">
        <f>VLOOKUP($L27,EQP!$A$2:$S$10,14,0)</f>
        <v>755</v>
      </c>
      <c r="AX27" s="21">
        <f>VLOOKUP($L27,EQP!$A$2:$S$10,15,0)</f>
        <v>780</v>
      </c>
      <c r="AY27" s="21">
        <f>VLOOKUP($L27,EQP!$A$2:$S$10,16,0)</f>
        <v>1155</v>
      </c>
      <c r="AZ27" s="21">
        <f t="shared" si="51"/>
        <v>5</v>
      </c>
      <c r="BA27" s="21">
        <f t="shared" si="52"/>
        <v>14</v>
      </c>
      <c r="BB27" s="21">
        <f t="shared" si="53"/>
        <v>2</v>
      </c>
      <c r="BC27" s="21">
        <f t="shared" si="79"/>
        <v>70</v>
      </c>
      <c r="BD27" s="21">
        <f t="shared" si="80"/>
        <v>2</v>
      </c>
      <c r="BE27" s="21">
        <f t="shared" si="81"/>
        <v>140</v>
      </c>
      <c r="BF27" s="21">
        <f>VLOOKUP($L27,EQP!$A$2:$S$10,17,0)</f>
        <v>1155</v>
      </c>
      <c r="BG27" s="21">
        <f>VLOOKUP($L27,EQP!$A$2:$S$10,18,0)</f>
        <v>780</v>
      </c>
      <c r="BH27" s="21">
        <f>VLOOKUP($L27,EQP!$A$2:$S$10,19,0)</f>
        <v>755</v>
      </c>
      <c r="BI27" s="21">
        <f t="shared" si="54"/>
        <v>8</v>
      </c>
      <c r="BJ27" s="21">
        <f t="shared" si="55"/>
        <v>14</v>
      </c>
      <c r="BK27" s="21">
        <f t="shared" si="56"/>
        <v>1</v>
      </c>
      <c r="BL27" s="21">
        <f t="shared" si="82"/>
        <v>112</v>
      </c>
      <c r="BM27" s="21">
        <f t="shared" si="83"/>
        <v>1</v>
      </c>
      <c r="BN27" s="21">
        <f t="shared" si="84"/>
        <v>112</v>
      </c>
    </row>
    <row r="28" spans="1:66" x14ac:dyDescent="0.3">
      <c r="A28" s="5" t="str">
        <f t="shared" si="18"/>
        <v>1</v>
      </c>
      <c r="B28" s="6">
        <f t="shared" si="57"/>
        <v>8</v>
      </c>
      <c r="C28" s="7">
        <f t="shared" si="58"/>
        <v>14007841</v>
      </c>
      <c r="D28" s="7" t="str">
        <f t="shared" si="59"/>
        <v>END CAP RH ASSY</v>
      </c>
      <c r="E28" s="6">
        <f t="shared" si="60"/>
        <v>130</v>
      </c>
      <c r="F28" s="6">
        <f t="shared" si="61"/>
        <v>50</v>
      </c>
      <c r="G28" s="6">
        <f t="shared" si="62"/>
        <v>385</v>
      </c>
      <c r="H28" s="6">
        <f t="shared" si="63"/>
        <v>192</v>
      </c>
      <c r="I28" s="6">
        <f t="shared" si="64"/>
        <v>1</v>
      </c>
      <c r="J28" s="6">
        <f t="shared" si="65"/>
        <v>192</v>
      </c>
      <c r="K28" s="6">
        <f t="shared" si="66"/>
        <v>18</v>
      </c>
      <c r="L28" s="5" t="str">
        <f t="shared" si="85"/>
        <v>FLC ( 1200 x 800 x 975) mm</v>
      </c>
      <c r="M28" s="21">
        <f>VLOOKUP($L28,EQP!$A$2:$S$10,2,0)</f>
        <v>1155</v>
      </c>
      <c r="N28" s="21">
        <f>VLOOKUP($L28,EQP!$A$2:$S$10,3,0)</f>
        <v>755</v>
      </c>
      <c r="O28" s="21">
        <f>VLOOKUP($L28,EQP!$A$2:$S$10,4,0)</f>
        <v>780</v>
      </c>
      <c r="P28" s="21">
        <f t="shared" si="39"/>
        <v>8</v>
      </c>
      <c r="Q28" s="21">
        <f t="shared" si="40"/>
        <v>13</v>
      </c>
      <c r="R28" s="21">
        <f t="shared" si="41"/>
        <v>2</v>
      </c>
      <c r="S28" s="21">
        <f t="shared" si="67"/>
        <v>104</v>
      </c>
      <c r="T28" s="21">
        <f t="shared" si="68"/>
        <v>2</v>
      </c>
      <c r="U28" s="21">
        <f t="shared" si="69"/>
        <v>208</v>
      </c>
      <c r="V28" s="21">
        <f>VLOOKUP($L28,EQP!$A$2:$S$10,5,0)</f>
        <v>755</v>
      </c>
      <c r="W28" s="21">
        <f>VLOOKUP($L28,EQP!$A$2:$S$10,6,0)</f>
        <v>1155</v>
      </c>
      <c r="X28" s="21">
        <f>VLOOKUP($L28,EQP!$A$2:$S$10,7,0)</f>
        <v>780</v>
      </c>
      <c r="Y28" s="21">
        <f t="shared" si="42"/>
        <v>5</v>
      </c>
      <c r="Z28" s="21">
        <f t="shared" si="43"/>
        <v>21</v>
      </c>
      <c r="AA28" s="21">
        <f t="shared" si="44"/>
        <v>2</v>
      </c>
      <c r="AB28" s="21">
        <f t="shared" si="70"/>
        <v>105</v>
      </c>
      <c r="AC28" s="21">
        <f t="shared" si="71"/>
        <v>2</v>
      </c>
      <c r="AD28" s="21">
        <f t="shared" si="72"/>
        <v>210</v>
      </c>
      <c r="AE28" s="21">
        <f>VLOOKUP($L28,EQP!$A$2:$S$10,8,0)</f>
        <v>780</v>
      </c>
      <c r="AF28" s="21">
        <f>VLOOKUP($L28,EQP!$A$2:$S$10,9,0)</f>
        <v>1155</v>
      </c>
      <c r="AG28" s="21">
        <f>VLOOKUP($L28,EQP!$A$2:$S$10,10,0)</f>
        <v>755</v>
      </c>
      <c r="AH28" s="21">
        <f t="shared" si="45"/>
        <v>5</v>
      </c>
      <c r="AI28" s="21">
        <f t="shared" si="46"/>
        <v>21</v>
      </c>
      <c r="AJ28" s="21">
        <f t="shared" si="47"/>
        <v>1</v>
      </c>
      <c r="AK28" s="21">
        <f t="shared" si="73"/>
        <v>105</v>
      </c>
      <c r="AL28" s="21">
        <f t="shared" si="74"/>
        <v>1</v>
      </c>
      <c r="AM28" s="21">
        <f t="shared" si="75"/>
        <v>105</v>
      </c>
      <c r="AN28" s="21">
        <f>VLOOKUP($L28,EQP!$A$2:$S$10,11,0)</f>
        <v>780</v>
      </c>
      <c r="AO28" s="21">
        <f>VLOOKUP($L28,EQP!$A$2:$S$10,12,0)</f>
        <v>755</v>
      </c>
      <c r="AP28" s="21">
        <f>VLOOKUP($L28,EQP!$A$2:$S$10,13,0)</f>
        <v>1155</v>
      </c>
      <c r="AQ28" s="21">
        <f t="shared" si="48"/>
        <v>5</v>
      </c>
      <c r="AR28" s="21">
        <f t="shared" si="49"/>
        <v>13</v>
      </c>
      <c r="AS28" s="21">
        <f t="shared" si="50"/>
        <v>2</v>
      </c>
      <c r="AT28" s="21">
        <f t="shared" si="76"/>
        <v>65</v>
      </c>
      <c r="AU28" s="21">
        <f t="shared" si="77"/>
        <v>2</v>
      </c>
      <c r="AV28" s="21">
        <f t="shared" si="78"/>
        <v>130</v>
      </c>
      <c r="AW28" s="21">
        <f>VLOOKUP($L28,EQP!$A$2:$S$10,14,0)</f>
        <v>755</v>
      </c>
      <c r="AX28" s="21">
        <f>VLOOKUP($L28,EQP!$A$2:$S$10,15,0)</f>
        <v>780</v>
      </c>
      <c r="AY28" s="21">
        <f>VLOOKUP($L28,EQP!$A$2:$S$10,16,0)</f>
        <v>1155</v>
      </c>
      <c r="AZ28" s="21">
        <f t="shared" si="51"/>
        <v>5</v>
      </c>
      <c r="BA28" s="21">
        <f t="shared" si="52"/>
        <v>14</v>
      </c>
      <c r="BB28" s="21">
        <f t="shared" si="53"/>
        <v>2</v>
      </c>
      <c r="BC28" s="21">
        <f t="shared" si="79"/>
        <v>70</v>
      </c>
      <c r="BD28" s="21">
        <f t="shared" si="80"/>
        <v>2</v>
      </c>
      <c r="BE28" s="21">
        <f t="shared" si="81"/>
        <v>140</v>
      </c>
      <c r="BF28" s="21">
        <f>VLOOKUP($L28,EQP!$A$2:$S$10,17,0)</f>
        <v>1155</v>
      </c>
      <c r="BG28" s="21">
        <f>VLOOKUP($L28,EQP!$A$2:$S$10,18,0)</f>
        <v>780</v>
      </c>
      <c r="BH28" s="21">
        <f>VLOOKUP($L28,EQP!$A$2:$S$10,19,0)</f>
        <v>755</v>
      </c>
      <c r="BI28" s="21">
        <f t="shared" si="54"/>
        <v>8</v>
      </c>
      <c r="BJ28" s="21">
        <f t="shared" si="55"/>
        <v>14</v>
      </c>
      <c r="BK28" s="21">
        <f t="shared" si="56"/>
        <v>1</v>
      </c>
      <c r="BL28" s="21">
        <f t="shared" si="82"/>
        <v>112</v>
      </c>
      <c r="BM28" s="21">
        <f t="shared" si="83"/>
        <v>1</v>
      </c>
      <c r="BN28" s="21">
        <f t="shared" si="84"/>
        <v>112</v>
      </c>
    </row>
    <row r="29" spans="1:66" x14ac:dyDescent="0.3">
      <c r="A29" s="5" t="str">
        <f t="shared" si="18"/>
        <v>1</v>
      </c>
      <c r="B29" s="6">
        <f t="shared" si="57"/>
        <v>9</v>
      </c>
      <c r="C29" s="7">
        <f t="shared" si="58"/>
        <v>14007842</v>
      </c>
      <c r="D29" s="7" t="str">
        <f t="shared" si="59"/>
        <v>DRIVER SIDE KNEE COVER RHD ASSY</v>
      </c>
      <c r="E29" s="6">
        <f t="shared" si="60"/>
        <v>170</v>
      </c>
      <c r="F29" s="6">
        <f t="shared" si="61"/>
        <v>70</v>
      </c>
      <c r="G29" s="6">
        <f t="shared" si="62"/>
        <v>265</v>
      </c>
      <c r="H29" s="6">
        <f t="shared" si="63"/>
        <v>80</v>
      </c>
      <c r="I29" s="6">
        <f t="shared" si="64"/>
        <v>1</v>
      </c>
      <c r="J29" s="6">
        <f t="shared" si="65"/>
        <v>80</v>
      </c>
      <c r="K29" s="6">
        <f t="shared" si="66"/>
        <v>40</v>
      </c>
      <c r="L29" s="5" t="str">
        <f t="shared" si="85"/>
        <v>FLC ( 1200 x 800 x 975) mm</v>
      </c>
      <c r="M29" s="21">
        <f>VLOOKUP($L29,EQP!$A$2:$S$10,2,0)</f>
        <v>1155</v>
      </c>
      <c r="N29" s="21">
        <f>VLOOKUP($L29,EQP!$A$2:$S$10,3,0)</f>
        <v>755</v>
      </c>
      <c r="O29" s="21">
        <f>VLOOKUP($L29,EQP!$A$2:$S$10,4,0)</f>
        <v>780</v>
      </c>
      <c r="P29" s="21">
        <f t="shared" si="39"/>
        <v>6</v>
      </c>
      <c r="Q29" s="21">
        <f t="shared" si="40"/>
        <v>10</v>
      </c>
      <c r="R29" s="21">
        <f t="shared" si="41"/>
        <v>2</v>
      </c>
      <c r="S29" s="21">
        <f t="shared" si="67"/>
        <v>60</v>
      </c>
      <c r="T29" s="21">
        <f t="shared" si="68"/>
        <v>2</v>
      </c>
      <c r="U29" s="21">
        <f t="shared" si="69"/>
        <v>120</v>
      </c>
      <c r="V29" s="21">
        <f>VLOOKUP($L29,EQP!$A$2:$S$10,5,0)</f>
        <v>755</v>
      </c>
      <c r="W29" s="21">
        <f>VLOOKUP($L29,EQP!$A$2:$S$10,6,0)</f>
        <v>1155</v>
      </c>
      <c r="X29" s="21">
        <f>VLOOKUP($L29,EQP!$A$2:$S$10,7,0)</f>
        <v>780</v>
      </c>
      <c r="Y29" s="21">
        <f t="shared" si="42"/>
        <v>4</v>
      </c>
      <c r="Z29" s="21">
        <f t="shared" si="43"/>
        <v>15</v>
      </c>
      <c r="AA29" s="21">
        <f t="shared" si="44"/>
        <v>2</v>
      </c>
      <c r="AB29" s="21">
        <f t="shared" si="70"/>
        <v>60</v>
      </c>
      <c r="AC29" s="21">
        <f t="shared" si="71"/>
        <v>2</v>
      </c>
      <c r="AD29" s="21">
        <f t="shared" si="72"/>
        <v>120</v>
      </c>
      <c r="AE29" s="21">
        <f>VLOOKUP($L29,EQP!$A$2:$S$10,8,0)</f>
        <v>780</v>
      </c>
      <c r="AF29" s="21">
        <f>VLOOKUP($L29,EQP!$A$2:$S$10,9,0)</f>
        <v>1155</v>
      </c>
      <c r="AG29" s="21">
        <f>VLOOKUP($L29,EQP!$A$2:$S$10,10,0)</f>
        <v>755</v>
      </c>
      <c r="AH29" s="21">
        <f t="shared" si="45"/>
        <v>4</v>
      </c>
      <c r="AI29" s="21">
        <f t="shared" si="46"/>
        <v>15</v>
      </c>
      <c r="AJ29" s="21">
        <f t="shared" si="47"/>
        <v>2</v>
      </c>
      <c r="AK29" s="21">
        <f t="shared" si="73"/>
        <v>60</v>
      </c>
      <c r="AL29" s="21">
        <f t="shared" si="74"/>
        <v>2</v>
      </c>
      <c r="AM29" s="21">
        <f t="shared" si="75"/>
        <v>120</v>
      </c>
      <c r="AN29" s="21">
        <f>VLOOKUP($L29,EQP!$A$2:$S$10,11,0)</f>
        <v>780</v>
      </c>
      <c r="AO29" s="21">
        <f>VLOOKUP($L29,EQP!$A$2:$S$10,12,0)</f>
        <v>755</v>
      </c>
      <c r="AP29" s="21">
        <f>VLOOKUP($L29,EQP!$A$2:$S$10,13,0)</f>
        <v>1155</v>
      </c>
      <c r="AQ29" s="21">
        <f t="shared" si="48"/>
        <v>4</v>
      </c>
      <c r="AR29" s="21">
        <f t="shared" si="49"/>
        <v>10</v>
      </c>
      <c r="AS29" s="21">
        <f t="shared" si="50"/>
        <v>4</v>
      </c>
      <c r="AT29" s="21">
        <f t="shared" si="76"/>
        <v>40</v>
      </c>
      <c r="AU29" s="21">
        <f t="shared" si="77"/>
        <v>4</v>
      </c>
      <c r="AV29" s="21">
        <f t="shared" si="78"/>
        <v>160</v>
      </c>
      <c r="AW29" s="21">
        <f>VLOOKUP($L29,EQP!$A$2:$S$10,14,0)</f>
        <v>755</v>
      </c>
      <c r="AX29" s="21">
        <f>VLOOKUP($L29,EQP!$A$2:$S$10,15,0)</f>
        <v>780</v>
      </c>
      <c r="AY29" s="21">
        <f>VLOOKUP($L29,EQP!$A$2:$S$10,16,0)</f>
        <v>1155</v>
      </c>
      <c r="AZ29" s="21">
        <f t="shared" si="51"/>
        <v>4</v>
      </c>
      <c r="BA29" s="21">
        <f t="shared" si="52"/>
        <v>10</v>
      </c>
      <c r="BB29" s="21">
        <f t="shared" si="53"/>
        <v>4</v>
      </c>
      <c r="BC29" s="21">
        <f t="shared" si="79"/>
        <v>40</v>
      </c>
      <c r="BD29" s="21">
        <f t="shared" si="80"/>
        <v>4</v>
      </c>
      <c r="BE29" s="21">
        <f t="shared" si="81"/>
        <v>160</v>
      </c>
      <c r="BF29" s="21">
        <f>VLOOKUP($L29,EQP!$A$2:$S$10,17,0)</f>
        <v>1155</v>
      </c>
      <c r="BG29" s="21">
        <f>VLOOKUP($L29,EQP!$A$2:$S$10,18,0)</f>
        <v>780</v>
      </c>
      <c r="BH29" s="21">
        <f>VLOOKUP($L29,EQP!$A$2:$S$10,19,0)</f>
        <v>755</v>
      </c>
      <c r="BI29" s="21">
        <f t="shared" si="54"/>
        <v>6</v>
      </c>
      <c r="BJ29" s="21">
        <f t="shared" si="55"/>
        <v>10</v>
      </c>
      <c r="BK29" s="21">
        <f t="shared" si="56"/>
        <v>2</v>
      </c>
      <c r="BL29" s="21">
        <f t="shared" si="82"/>
        <v>60</v>
      </c>
      <c r="BM29" s="21">
        <f t="shared" si="83"/>
        <v>2</v>
      </c>
      <c r="BN29" s="21">
        <f t="shared" si="84"/>
        <v>120</v>
      </c>
    </row>
    <row r="30" spans="1:66" x14ac:dyDescent="0.3">
      <c r="A30" s="5" t="str">
        <f t="shared" si="18"/>
        <v>1</v>
      </c>
      <c r="B30" s="6">
        <f t="shared" si="57"/>
        <v>10</v>
      </c>
      <c r="C30" s="7">
        <f t="shared" si="58"/>
        <v>14007843</v>
      </c>
      <c r="D30" s="7" t="str">
        <f t="shared" si="59"/>
        <v>DIN_BIN</v>
      </c>
      <c r="E30" s="6">
        <f t="shared" si="60"/>
        <v>225</v>
      </c>
      <c r="F30" s="6">
        <f t="shared" si="61"/>
        <v>70</v>
      </c>
      <c r="G30" s="6">
        <f t="shared" si="62"/>
        <v>310</v>
      </c>
      <c r="H30" s="6">
        <f t="shared" si="63"/>
        <v>192</v>
      </c>
      <c r="I30" s="6">
        <f t="shared" si="64"/>
        <v>3</v>
      </c>
      <c r="J30" s="6">
        <f t="shared" si="65"/>
        <v>576</v>
      </c>
      <c r="K30" s="6">
        <f t="shared" si="66"/>
        <v>6</v>
      </c>
      <c r="L30" s="5" t="str">
        <f t="shared" si="85"/>
        <v>FLC ( 1200 x 800 x 975) mm</v>
      </c>
      <c r="M30" s="21">
        <f>VLOOKUP($L30,EQP!$A$2:$S$10,2,0)</f>
        <v>1155</v>
      </c>
      <c r="N30" s="21">
        <f>VLOOKUP($L30,EQP!$A$2:$S$10,3,0)</f>
        <v>755</v>
      </c>
      <c r="O30" s="21">
        <f>VLOOKUP($L30,EQP!$A$2:$S$10,4,0)</f>
        <v>780</v>
      </c>
      <c r="P30" s="21">
        <f t="shared" si="39"/>
        <v>5</v>
      </c>
      <c r="Q30" s="21">
        <f t="shared" si="40"/>
        <v>10</v>
      </c>
      <c r="R30" s="21">
        <f t="shared" si="41"/>
        <v>2</v>
      </c>
      <c r="S30" s="21">
        <f t="shared" si="67"/>
        <v>50</v>
      </c>
      <c r="T30" s="21">
        <f t="shared" si="68"/>
        <v>2</v>
      </c>
      <c r="U30" s="21">
        <f t="shared" si="69"/>
        <v>100</v>
      </c>
      <c r="V30" s="21">
        <f>VLOOKUP($L30,EQP!$A$2:$S$10,5,0)</f>
        <v>755</v>
      </c>
      <c r="W30" s="21">
        <f>VLOOKUP($L30,EQP!$A$2:$S$10,6,0)</f>
        <v>1155</v>
      </c>
      <c r="X30" s="21">
        <f>VLOOKUP($L30,EQP!$A$2:$S$10,7,0)</f>
        <v>780</v>
      </c>
      <c r="Y30" s="21">
        <f t="shared" si="42"/>
        <v>3</v>
      </c>
      <c r="Z30" s="21">
        <f t="shared" si="43"/>
        <v>15</v>
      </c>
      <c r="AA30" s="21">
        <f t="shared" si="44"/>
        <v>2</v>
      </c>
      <c r="AB30" s="21">
        <f t="shared" si="70"/>
        <v>45</v>
      </c>
      <c r="AC30" s="21">
        <f t="shared" si="71"/>
        <v>2</v>
      </c>
      <c r="AD30" s="21">
        <f t="shared" si="72"/>
        <v>90</v>
      </c>
      <c r="AE30" s="21">
        <f>VLOOKUP($L30,EQP!$A$2:$S$10,8,0)</f>
        <v>780</v>
      </c>
      <c r="AF30" s="21">
        <f>VLOOKUP($L30,EQP!$A$2:$S$10,9,0)</f>
        <v>1155</v>
      </c>
      <c r="AG30" s="21">
        <f>VLOOKUP($L30,EQP!$A$2:$S$10,10,0)</f>
        <v>755</v>
      </c>
      <c r="AH30" s="21">
        <f t="shared" si="45"/>
        <v>3</v>
      </c>
      <c r="AI30" s="21">
        <f t="shared" si="46"/>
        <v>15</v>
      </c>
      <c r="AJ30" s="21">
        <f t="shared" si="47"/>
        <v>2</v>
      </c>
      <c r="AK30" s="21">
        <f t="shared" si="73"/>
        <v>45</v>
      </c>
      <c r="AL30" s="21">
        <f t="shared" si="74"/>
        <v>2</v>
      </c>
      <c r="AM30" s="21">
        <f t="shared" si="75"/>
        <v>90</v>
      </c>
      <c r="AN30" s="21">
        <f>VLOOKUP($L30,EQP!$A$2:$S$10,11,0)</f>
        <v>780</v>
      </c>
      <c r="AO30" s="21">
        <f>VLOOKUP($L30,EQP!$A$2:$S$10,12,0)</f>
        <v>755</v>
      </c>
      <c r="AP30" s="21">
        <f>VLOOKUP($L30,EQP!$A$2:$S$10,13,0)</f>
        <v>1155</v>
      </c>
      <c r="AQ30" s="21">
        <f t="shared" si="48"/>
        <v>3</v>
      </c>
      <c r="AR30" s="21">
        <f t="shared" si="49"/>
        <v>10</v>
      </c>
      <c r="AS30" s="21">
        <f t="shared" si="50"/>
        <v>3</v>
      </c>
      <c r="AT30" s="21">
        <f t="shared" si="76"/>
        <v>30</v>
      </c>
      <c r="AU30" s="21">
        <f t="shared" si="77"/>
        <v>3</v>
      </c>
      <c r="AV30" s="21">
        <f t="shared" si="78"/>
        <v>90</v>
      </c>
      <c r="AW30" s="21">
        <f>VLOOKUP($L30,EQP!$A$2:$S$10,14,0)</f>
        <v>755</v>
      </c>
      <c r="AX30" s="21">
        <f>VLOOKUP($L30,EQP!$A$2:$S$10,15,0)</f>
        <v>780</v>
      </c>
      <c r="AY30" s="21">
        <f>VLOOKUP($L30,EQP!$A$2:$S$10,16,0)</f>
        <v>1155</v>
      </c>
      <c r="AZ30" s="21">
        <f t="shared" si="51"/>
        <v>3</v>
      </c>
      <c r="BA30" s="21">
        <f t="shared" si="52"/>
        <v>10</v>
      </c>
      <c r="BB30" s="21">
        <f t="shared" si="53"/>
        <v>3</v>
      </c>
      <c r="BC30" s="21">
        <f t="shared" si="79"/>
        <v>30</v>
      </c>
      <c r="BD30" s="21">
        <f t="shared" si="80"/>
        <v>3</v>
      </c>
      <c r="BE30" s="21">
        <f t="shared" si="81"/>
        <v>90</v>
      </c>
      <c r="BF30" s="21">
        <f>VLOOKUP($L30,EQP!$A$2:$S$10,17,0)</f>
        <v>1155</v>
      </c>
      <c r="BG30" s="21">
        <f>VLOOKUP($L30,EQP!$A$2:$S$10,18,0)</f>
        <v>780</v>
      </c>
      <c r="BH30" s="21">
        <f>VLOOKUP($L30,EQP!$A$2:$S$10,19,0)</f>
        <v>755</v>
      </c>
      <c r="BI30" s="21">
        <f t="shared" si="54"/>
        <v>5</v>
      </c>
      <c r="BJ30" s="21">
        <f t="shared" si="55"/>
        <v>10</v>
      </c>
      <c r="BK30" s="21">
        <f t="shared" si="56"/>
        <v>2</v>
      </c>
      <c r="BL30" s="21">
        <f t="shared" si="82"/>
        <v>50</v>
      </c>
      <c r="BM30" s="21">
        <f t="shared" si="83"/>
        <v>2</v>
      </c>
      <c r="BN30" s="21">
        <f t="shared" si="84"/>
        <v>100</v>
      </c>
    </row>
    <row r="31" spans="1:66" x14ac:dyDescent="0.3">
      <c r="A31" s="5" t="str">
        <f t="shared" si="18"/>
        <v/>
      </c>
      <c r="H31" s="6"/>
      <c r="I31" s="6"/>
      <c r="J31" s="6"/>
      <c r="K31" s="6"/>
    </row>
    <row r="32" spans="1:66" x14ac:dyDescent="0.3">
      <c r="A32" s="5" t="str">
        <f t="shared" si="18"/>
        <v/>
      </c>
      <c r="H32" s="6"/>
      <c r="I32" s="6"/>
      <c r="J32" s="6"/>
      <c r="K32" s="6"/>
    </row>
    <row r="33" spans="1:66" x14ac:dyDescent="0.3">
      <c r="A33" s="5" t="str">
        <f t="shared" si="18"/>
        <v/>
      </c>
      <c r="H33" s="6"/>
      <c r="I33" s="6"/>
      <c r="J33" s="6"/>
      <c r="K33" s="6"/>
    </row>
    <row r="34" spans="1:66" x14ac:dyDescent="0.3">
      <c r="A34" s="5" t="str">
        <f t="shared" si="18"/>
        <v/>
      </c>
      <c r="H34" s="6"/>
      <c r="I34" s="6"/>
      <c r="J34" s="6"/>
      <c r="K34" s="6"/>
    </row>
    <row r="35" spans="1:66" x14ac:dyDescent="0.3">
      <c r="A35" s="5" t="str">
        <f t="shared" si="18"/>
        <v/>
      </c>
      <c r="H35" s="6"/>
      <c r="I35" s="6"/>
      <c r="J35" s="6"/>
      <c r="K35" s="6"/>
    </row>
    <row r="36" spans="1:66" x14ac:dyDescent="0.3">
      <c r="A36" s="5" t="str">
        <f t="shared" si="18"/>
        <v/>
      </c>
      <c r="H36" s="6"/>
      <c r="I36" s="6"/>
      <c r="J36" s="6"/>
      <c r="K36" s="6"/>
    </row>
    <row r="37" spans="1:66" x14ac:dyDescent="0.3">
      <c r="A37" s="5" t="str">
        <f t="shared" si="18"/>
        <v/>
      </c>
      <c r="H37" s="6"/>
      <c r="I37" s="6"/>
      <c r="J37" s="6"/>
      <c r="K37" s="6"/>
    </row>
    <row r="38" spans="1:66" x14ac:dyDescent="0.3">
      <c r="A38" s="5" t="str">
        <f t="shared" si="18"/>
        <v/>
      </c>
      <c r="H38" s="6"/>
      <c r="I38" s="6"/>
      <c r="J38" s="6"/>
      <c r="K38" s="6"/>
    </row>
    <row r="39" spans="1:66" x14ac:dyDescent="0.3">
      <c r="A39" s="5" t="str">
        <f t="shared" si="18"/>
        <v/>
      </c>
    </row>
    <row r="40" spans="1:66" x14ac:dyDescent="0.3">
      <c r="A40" s="5" t="str">
        <f t="shared" si="18"/>
        <v/>
      </c>
    </row>
    <row r="41" spans="1:66" x14ac:dyDescent="0.3">
      <c r="A41" s="5" t="str">
        <f t="shared" si="18"/>
        <v>1</v>
      </c>
      <c r="B41" s="6">
        <f t="shared" ref="B41:B50" si="86">$B21</f>
        <v>1</v>
      </c>
      <c r="C41" s="7">
        <f t="shared" ref="C41:C50" si="87">$C21</f>
        <v>14007834</v>
      </c>
      <c r="D41" s="7" t="str">
        <f t="shared" ref="D41:D50" si="88">$D21</f>
        <v>2.0_M_CENTER BEZEL PREMIUM ASSY</v>
      </c>
      <c r="E41" s="6">
        <f t="shared" ref="E41:E50" si="89">$E21</f>
        <v>274</v>
      </c>
      <c r="F41" s="6">
        <f t="shared" ref="F41:F50" si="90">$F21</f>
        <v>76</v>
      </c>
      <c r="G41" s="6">
        <f t="shared" ref="G41:G50" si="91">$G21</f>
        <v>620</v>
      </c>
      <c r="H41" s="6">
        <f t="shared" ref="H41:H50" si="92">$H21</f>
        <v>44</v>
      </c>
      <c r="I41" s="6">
        <f t="shared" ref="I41:I50" si="93">$I21</f>
        <v>1</v>
      </c>
      <c r="J41" s="6">
        <f t="shared" ref="J41:J50" si="94">$J21</f>
        <v>44</v>
      </c>
      <c r="K41" s="6">
        <f>$K21</f>
        <v>80</v>
      </c>
      <c r="L41" s="5" t="str">
        <f>EQP!A4</f>
        <v>FCS (810 x 760 x 860)mm</v>
      </c>
      <c r="M41" s="21">
        <f>VLOOKUP($L41,EQP!$A$2:$S$10,2,0)</f>
        <v>780</v>
      </c>
      <c r="N41" s="21">
        <f>VLOOKUP($L41,EQP!$A$2:$S$10,3,0)</f>
        <v>730</v>
      </c>
      <c r="O41" s="21">
        <f>VLOOKUP($L41,EQP!$A$2:$S$10,4,0)</f>
        <v>720</v>
      </c>
      <c r="P41" s="21">
        <f t="shared" ref="P41:P50" si="95">ROUNDDOWN($M41/($E41+5),0)</f>
        <v>2</v>
      </c>
      <c r="Q41" s="21">
        <f t="shared" ref="Q41:Q50" si="96">ROUNDDOWN($N41/($F41+5),0)</f>
        <v>9</v>
      </c>
      <c r="R41" s="21">
        <f t="shared" ref="R41:R50" si="97">ROUNDDOWN($O41/($G41+5),0)</f>
        <v>1</v>
      </c>
      <c r="S41" s="21">
        <f>$P41*$Q41</f>
        <v>18</v>
      </c>
      <c r="T41" s="21">
        <f>R41</f>
        <v>1</v>
      </c>
      <c r="U41" s="21">
        <f>S41*T41</f>
        <v>18</v>
      </c>
      <c r="V41" s="21">
        <f>VLOOKUP($L41,EQP!$A$2:$S$10,5,0)</f>
        <v>730</v>
      </c>
      <c r="W41" s="21">
        <f>VLOOKUP($L41,EQP!$A$2:$S$10,6,0)</f>
        <v>780</v>
      </c>
      <c r="X41" s="21">
        <f>VLOOKUP($L41,EQP!$A$2:$S$10,7,0)</f>
        <v>720</v>
      </c>
      <c r="Y41" s="21">
        <f t="shared" ref="Y41:Y50" si="98">ROUNDDOWN($N41/($E41+5),0)</f>
        <v>2</v>
      </c>
      <c r="Z41" s="21">
        <f t="shared" ref="Z41:Z50" si="99">ROUNDDOWN($W41/($F41+5),0)</f>
        <v>9</v>
      </c>
      <c r="AA41" s="21">
        <f t="shared" ref="AA41:AA50" si="100">ROUNDDOWN($X41/($G41+5),0)</f>
        <v>1</v>
      </c>
      <c r="AB41" s="21">
        <f>Y41*Z41</f>
        <v>18</v>
      </c>
      <c r="AC41" s="21">
        <f>AA41</f>
        <v>1</v>
      </c>
      <c r="AD41" s="21">
        <f>AB41*AC41</f>
        <v>18</v>
      </c>
      <c r="AE41" s="21">
        <f>VLOOKUP($L41,EQP!$A$2:$S$10,8,0)</f>
        <v>720</v>
      </c>
      <c r="AF41" s="21">
        <f>VLOOKUP($L41,EQP!$A$2:$S$10,9,0)</f>
        <v>780</v>
      </c>
      <c r="AG41" s="21">
        <f>VLOOKUP($L41,EQP!$A$2:$S$10,10,0)</f>
        <v>730</v>
      </c>
      <c r="AH41" s="21">
        <f t="shared" ref="AH41:AH50" si="101">ROUNDDOWN($AE41/($E41+5),0)</f>
        <v>2</v>
      </c>
      <c r="AI41" s="21">
        <f t="shared" ref="AI41:AI50" si="102">ROUNDDOWN($AF41/($F41+5),0)</f>
        <v>9</v>
      </c>
      <c r="AJ41" s="21">
        <f t="shared" ref="AJ41:AJ50" si="103">ROUNDDOWN($AG41/($G41+5),0)</f>
        <v>1</v>
      </c>
      <c r="AK41" s="21">
        <f>AH41*AI41</f>
        <v>18</v>
      </c>
      <c r="AL41" s="21">
        <f>AJ41</f>
        <v>1</v>
      </c>
      <c r="AM41" s="21">
        <f>AK41*AL41</f>
        <v>18</v>
      </c>
      <c r="AN41" s="21">
        <f>VLOOKUP($L41,EQP!$A$2:$S$10,11,0)</f>
        <v>720</v>
      </c>
      <c r="AO41" s="21">
        <f>VLOOKUP($L41,EQP!$A$2:$S$10,12,0)</f>
        <v>730</v>
      </c>
      <c r="AP41" s="21">
        <f>VLOOKUP($L41,EQP!$A$2:$S$10,13,0)</f>
        <v>780</v>
      </c>
      <c r="AQ41" s="21">
        <f t="shared" ref="AQ41:AQ50" si="104">ROUNDDOWN($AN41/($E41+5),0)</f>
        <v>2</v>
      </c>
      <c r="AR41" s="21">
        <f t="shared" ref="AR41:AR50" si="105">ROUNDDOWN($AO41/($F41+5),0)</f>
        <v>9</v>
      </c>
      <c r="AS41" s="21">
        <f t="shared" ref="AS41:AS50" si="106">ROUNDDOWN($AP41/($G41+5),0)</f>
        <v>1</v>
      </c>
      <c r="AT41" s="21">
        <f>AQ41*AR41</f>
        <v>18</v>
      </c>
      <c r="AU41" s="21">
        <f>AS41</f>
        <v>1</v>
      </c>
      <c r="AV41" s="21">
        <f>AT41*AU41</f>
        <v>18</v>
      </c>
      <c r="AW41" s="21">
        <f>VLOOKUP($L41,EQP!$A$2:$S$10,14,0)</f>
        <v>730</v>
      </c>
      <c r="AX41" s="21">
        <f>VLOOKUP($L41,EQP!$A$2:$S$10,15,0)</f>
        <v>720</v>
      </c>
      <c r="AY41" s="21">
        <f>VLOOKUP($L41,EQP!$A$2:$S$10,16,0)</f>
        <v>780</v>
      </c>
      <c r="AZ41" s="21">
        <f t="shared" ref="AZ41:AZ50" si="107">ROUNDDOWN($AW41/($E41+5),0)</f>
        <v>2</v>
      </c>
      <c r="BA41" s="21">
        <f t="shared" ref="BA41:BA50" si="108">ROUNDDOWN($AX41/($F41+5),0)</f>
        <v>8</v>
      </c>
      <c r="BB41" s="21">
        <f t="shared" ref="BB41:BB50" si="109">ROUNDDOWN($AY41/($G41+5),0)</f>
        <v>1</v>
      </c>
      <c r="BC41" s="21">
        <f>AZ41*BA41</f>
        <v>16</v>
      </c>
      <c r="BD41" s="21">
        <f>BB41</f>
        <v>1</v>
      </c>
      <c r="BE41" s="21">
        <f>BC41*BD41</f>
        <v>16</v>
      </c>
      <c r="BF41" s="21">
        <f>VLOOKUP($L41,EQP!$A$2:$S$10,17,0)</f>
        <v>780</v>
      </c>
      <c r="BG41" s="21">
        <f>VLOOKUP($L41,EQP!$A$2:$S$10,18,0)</f>
        <v>720</v>
      </c>
      <c r="BH41" s="21">
        <f>VLOOKUP($L41,EQP!$A$2:$S$10,19,0)</f>
        <v>730</v>
      </c>
      <c r="BI41" s="21">
        <f t="shared" ref="BI41:BI50" si="110">ROUNDDOWN($BF41/($E41+5),0)</f>
        <v>2</v>
      </c>
      <c r="BJ41" s="21">
        <f t="shared" ref="BJ41:BJ50" si="111">ROUNDDOWN($BG41/($F41+5),0)</f>
        <v>8</v>
      </c>
      <c r="BK41" s="21">
        <f t="shared" ref="BK41:BK50" si="112">ROUNDDOWN($BH41/($G41+5),0)</f>
        <v>1</v>
      </c>
      <c r="BL41" s="21">
        <f>BI41*BJ41</f>
        <v>16</v>
      </c>
      <c r="BM41" s="21">
        <f>BK41</f>
        <v>1</v>
      </c>
      <c r="BN41" s="21">
        <f>BL41*BM41</f>
        <v>16</v>
      </c>
    </row>
    <row r="42" spans="1:66" x14ac:dyDescent="0.3">
      <c r="A42" s="5" t="str">
        <f t="shared" si="18"/>
        <v>1</v>
      </c>
      <c r="B42" s="6">
        <f t="shared" si="86"/>
        <v>2</v>
      </c>
      <c r="C42" s="7">
        <f t="shared" si="87"/>
        <v>14007835</v>
      </c>
      <c r="D42" s="7" t="str">
        <f t="shared" si="88"/>
        <v>SHROUD UPPER</v>
      </c>
      <c r="E42" s="6">
        <f t="shared" si="89"/>
        <v>225</v>
      </c>
      <c r="F42" s="6">
        <f t="shared" si="90"/>
        <v>125</v>
      </c>
      <c r="G42" s="6">
        <f t="shared" si="91"/>
        <v>190</v>
      </c>
      <c r="H42" s="6">
        <f t="shared" si="92"/>
        <v>96</v>
      </c>
      <c r="I42" s="6">
        <f t="shared" si="93"/>
        <v>2</v>
      </c>
      <c r="J42" s="6">
        <f t="shared" si="94"/>
        <v>192</v>
      </c>
      <c r="K42" s="6">
        <f t="shared" ref="K42:K50" si="113">$K22</f>
        <v>18</v>
      </c>
      <c r="L42" s="5" t="str">
        <f>L41</f>
        <v>FCS (810 x 760 x 860)mm</v>
      </c>
      <c r="M42" s="21">
        <f>VLOOKUP($L42,EQP!$A$2:$S$10,2,0)</f>
        <v>780</v>
      </c>
      <c r="N42" s="21">
        <f>VLOOKUP($L42,EQP!$A$2:$S$10,3,0)</f>
        <v>730</v>
      </c>
      <c r="O42" s="21">
        <f>VLOOKUP($L42,EQP!$A$2:$S$10,4,0)</f>
        <v>720</v>
      </c>
      <c r="P42" s="21">
        <f t="shared" si="95"/>
        <v>3</v>
      </c>
      <c r="Q42" s="21">
        <f t="shared" si="96"/>
        <v>5</v>
      </c>
      <c r="R42" s="21">
        <f t="shared" si="97"/>
        <v>3</v>
      </c>
      <c r="S42" s="21">
        <f t="shared" ref="S42:S50" si="114">$P42*$Q42</f>
        <v>15</v>
      </c>
      <c r="T42" s="21">
        <f t="shared" ref="T42:T50" si="115">R42</f>
        <v>3</v>
      </c>
      <c r="U42" s="21">
        <f t="shared" ref="U42:U50" si="116">S42*T42</f>
        <v>45</v>
      </c>
      <c r="V42" s="21">
        <f>VLOOKUP($L42,EQP!$A$2:$S$10,5,0)</f>
        <v>730</v>
      </c>
      <c r="W42" s="21">
        <f>VLOOKUP($L42,EQP!$A$2:$S$10,6,0)</f>
        <v>780</v>
      </c>
      <c r="X42" s="21">
        <f>VLOOKUP($L42,EQP!$A$2:$S$10,7,0)</f>
        <v>720</v>
      </c>
      <c r="Y42" s="21">
        <f t="shared" si="98"/>
        <v>3</v>
      </c>
      <c r="Z42" s="21">
        <f t="shared" si="99"/>
        <v>6</v>
      </c>
      <c r="AA42" s="21">
        <f t="shared" si="100"/>
        <v>3</v>
      </c>
      <c r="AB42" s="21">
        <f t="shared" ref="AB42:AB50" si="117">Y42*Z42</f>
        <v>18</v>
      </c>
      <c r="AC42" s="21">
        <f t="shared" ref="AC42:AC50" si="118">AA42</f>
        <v>3</v>
      </c>
      <c r="AD42" s="21">
        <f t="shared" ref="AD42:AD50" si="119">AB42*AC42</f>
        <v>54</v>
      </c>
      <c r="AE42" s="21">
        <f>VLOOKUP($L42,EQP!$A$2:$S$10,8,0)</f>
        <v>720</v>
      </c>
      <c r="AF42" s="21">
        <f>VLOOKUP($L42,EQP!$A$2:$S$10,9,0)</f>
        <v>780</v>
      </c>
      <c r="AG42" s="21">
        <f>VLOOKUP($L42,EQP!$A$2:$S$10,10,0)</f>
        <v>730</v>
      </c>
      <c r="AH42" s="21">
        <f t="shared" si="101"/>
        <v>3</v>
      </c>
      <c r="AI42" s="21">
        <f t="shared" si="102"/>
        <v>6</v>
      </c>
      <c r="AJ42" s="21">
        <f t="shared" si="103"/>
        <v>3</v>
      </c>
      <c r="AK42" s="21">
        <f t="shared" ref="AK42:AK50" si="120">AH42*AI42</f>
        <v>18</v>
      </c>
      <c r="AL42" s="21">
        <f t="shared" ref="AL42:AL50" si="121">AJ42</f>
        <v>3</v>
      </c>
      <c r="AM42" s="21">
        <f t="shared" ref="AM42:AM50" si="122">AK42*AL42</f>
        <v>54</v>
      </c>
      <c r="AN42" s="21">
        <f>VLOOKUP($L42,EQP!$A$2:$S$10,11,0)</f>
        <v>720</v>
      </c>
      <c r="AO42" s="21">
        <f>VLOOKUP($L42,EQP!$A$2:$S$10,12,0)</f>
        <v>730</v>
      </c>
      <c r="AP42" s="21">
        <f>VLOOKUP($L42,EQP!$A$2:$S$10,13,0)</f>
        <v>780</v>
      </c>
      <c r="AQ42" s="21">
        <f t="shared" si="104"/>
        <v>3</v>
      </c>
      <c r="AR42" s="21">
        <f t="shared" si="105"/>
        <v>5</v>
      </c>
      <c r="AS42" s="21">
        <f t="shared" si="106"/>
        <v>4</v>
      </c>
      <c r="AT42" s="21">
        <f t="shared" ref="AT42:AT50" si="123">AQ42*AR42</f>
        <v>15</v>
      </c>
      <c r="AU42" s="21">
        <f t="shared" ref="AU42:AU50" si="124">AS42</f>
        <v>4</v>
      </c>
      <c r="AV42" s="21">
        <f t="shared" ref="AV42:AV50" si="125">AT42*AU42</f>
        <v>60</v>
      </c>
      <c r="AW42" s="21">
        <f>VLOOKUP($L42,EQP!$A$2:$S$10,14,0)</f>
        <v>730</v>
      </c>
      <c r="AX42" s="21">
        <f>VLOOKUP($L42,EQP!$A$2:$S$10,15,0)</f>
        <v>720</v>
      </c>
      <c r="AY42" s="21">
        <f>VLOOKUP($L42,EQP!$A$2:$S$10,16,0)</f>
        <v>780</v>
      </c>
      <c r="AZ42" s="21">
        <f t="shared" si="107"/>
        <v>3</v>
      </c>
      <c r="BA42" s="21">
        <f t="shared" si="108"/>
        <v>5</v>
      </c>
      <c r="BB42" s="21">
        <f t="shared" si="109"/>
        <v>4</v>
      </c>
      <c r="BC42" s="21">
        <f t="shared" ref="BC42:BC50" si="126">AZ42*BA42</f>
        <v>15</v>
      </c>
      <c r="BD42" s="21">
        <f t="shared" ref="BD42:BD50" si="127">BB42</f>
        <v>4</v>
      </c>
      <c r="BE42" s="21">
        <f t="shared" ref="BE42:BE50" si="128">BC42*BD42</f>
        <v>60</v>
      </c>
      <c r="BF42" s="21">
        <f>VLOOKUP($L42,EQP!$A$2:$S$10,17,0)</f>
        <v>780</v>
      </c>
      <c r="BG42" s="21">
        <f>VLOOKUP($L42,EQP!$A$2:$S$10,18,0)</f>
        <v>720</v>
      </c>
      <c r="BH42" s="21">
        <f>VLOOKUP($L42,EQP!$A$2:$S$10,19,0)</f>
        <v>730</v>
      </c>
      <c r="BI42" s="21">
        <f t="shared" si="110"/>
        <v>3</v>
      </c>
      <c r="BJ42" s="21">
        <f t="shared" si="111"/>
        <v>5</v>
      </c>
      <c r="BK42" s="21">
        <f t="shared" si="112"/>
        <v>3</v>
      </c>
      <c r="BL42" s="21">
        <f t="shared" ref="BL42:BL50" si="129">BI42*BJ42</f>
        <v>15</v>
      </c>
      <c r="BM42" s="21">
        <f t="shared" ref="BM42:BM50" si="130">BK42</f>
        <v>3</v>
      </c>
      <c r="BN42" s="21">
        <f t="shared" ref="BN42:BN50" si="131">BL42*BM42</f>
        <v>45</v>
      </c>
    </row>
    <row r="43" spans="1:66" x14ac:dyDescent="0.3">
      <c r="A43" s="5" t="str">
        <f t="shared" si="18"/>
        <v>1</v>
      </c>
      <c r="B43" s="6">
        <f t="shared" si="86"/>
        <v>3</v>
      </c>
      <c r="C43" s="7">
        <f t="shared" si="87"/>
        <v>14007836</v>
      </c>
      <c r="D43" s="7" t="str">
        <f t="shared" si="88"/>
        <v>SHROUD LOWER</v>
      </c>
      <c r="E43" s="6">
        <f t="shared" si="89"/>
        <v>435</v>
      </c>
      <c r="F43" s="6">
        <f t="shared" si="90"/>
        <v>100</v>
      </c>
      <c r="G43" s="6">
        <f t="shared" si="91"/>
        <v>210</v>
      </c>
      <c r="H43" s="6">
        <f t="shared" si="92"/>
        <v>48</v>
      </c>
      <c r="I43" s="6">
        <f t="shared" si="93"/>
        <v>1</v>
      </c>
      <c r="J43" s="6">
        <f t="shared" si="94"/>
        <v>48</v>
      </c>
      <c r="K43" s="6">
        <f t="shared" si="113"/>
        <v>75</v>
      </c>
      <c r="L43" s="5" t="str">
        <f t="shared" ref="L43:L50" si="132">L42</f>
        <v>FCS (810 x 760 x 860)mm</v>
      </c>
      <c r="M43" s="21">
        <f>VLOOKUP($L43,EQP!$A$2:$S$10,2,0)</f>
        <v>780</v>
      </c>
      <c r="N43" s="21">
        <f>VLOOKUP($L43,EQP!$A$2:$S$10,3,0)</f>
        <v>730</v>
      </c>
      <c r="O43" s="21">
        <f>VLOOKUP($L43,EQP!$A$2:$S$10,4,0)</f>
        <v>720</v>
      </c>
      <c r="P43" s="21">
        <f t="shared" si="95"/>
        <v>1</v>
      </c>
      <c r="Q43" s="21">
        <f t="shared" si="96"/>
        <v>6</v>
      </c>
      <c r="R43" s="21">
        <f t="shared" si="97"/>
        <v>3</v>
      </c>
      <c r="S43" s="21">
        <f t="shared" si="114"/>
        <v>6</v>
      </c>
      <c r="T43" s="21">
        <f t="shared" si="115"/>
        <v>3</v>
      </c>
      <c r="U43" s="21">
        <f t="shared" si="116"/>
        <v>18</v>
      </c>
      <c r="V43" s="21">
        <f>VLOOKUP($L43,EQP!$A$2:$S$10,5,0)</f>
        <v>730</v>
      </c>
      <c r="W43" s="21">
        <f>VLOOKUP($L43,EQP!$A$2:$S$10,6,0)</f>
        <v>780</v>
      </c>
      <c r="X43" s="21">
        <f>VLOOKUP($L43,EQP!$A$2:$S$10,7,0)</f>
        <v>720</v>
      </c>
      <c r="Y43" s="21">
        <f t="shared" si="98"/>
        <v>1</v>
      </c>
      <c r="Z43" s="21">
        <f t="shared" si="99"/>
        <v>7</v>
      </c>
      <c r="AA43" s="21">
        <f t="shared" si="100"/>
        <v>3</v>
      </c>
      <c r="AB43" s="21">
        <f t="shared" si="117"/>
        <v>7</v>
      </c>
      <c r="AC43" s="21">
        <f t="shared" si="118"/>
        <v>3</v>
      </c>
      <c r="AD43" s="21">
        <f t="shared" si="119"/>
        <v>21</v>
      </c>
      <c r="AE43" s="21">
        <f>VLOOKUP($L43,EQP!$A$2:$S$10,8,0)</f>
        <v>720</v>
      </c>
      <c r="AF43" s="21">
        <f>VLOOKUP($L43,EQP!$A$2:$S$10,9,0)</f>
        <v>780</v>
      </c>
      <c r="AG43" s="21">
        <f>VLOOKUP($L43,EQP!$A$2:$S$10,10,0)</f>
        <v>730</v>
      </c>
      <c r="AH43" s="21">
        <f t="shared" si="101"/>
        <v>1</v>
      </c>
      <c r="AI43" s="21">
        <f t="shared" si="102"/>
        <v>7</v>
      </c>
      <c r="AJ43" s="21">
        <f t="shared" si="103"/>
        <v>3</v>
      </c>
      <c r="AK43" s="21">
        <f t="shared" si="120"/>
        <v>7</v>
      </c>
      <c r="AL43" s="21">
        <f t="shared" si="121"/>
        <v>3</v>
      </c>
      <c r="AM43" s="21">
        <f t="shared" si="122"/>
        <v>21</v>
      </c>
      <c r="AN43" s="21">
        <f>VLOOKUP($L43,EQP!$A$2:$S$10,11,0)</f>
        <v>720</v>
      </c>
      <c r="AO43" s="21">
        <f>VLOOKUP($L43,EQP!$A$2:$S$10,12,0)</f>
        <v>730</v>
      </c>
      <c r="AP43" s="21">
        <f>VLOOKUP($L43,EQP!$A$2:$S$10,13,0)</f>
        <v>780</v>
      </c>
      <c r="AQ43" s="21">
        <f t="shared" si="104"/>
        <v>1</v>
      </c>
      <c r="AR43" s="21">
        <f t="shared" si="105"/>
        <v>6</v>
      </c>
      <c r="AS43" s="21">
        <f t="shared" si="106"/>
        <v>3</v>
      </c>
      <c r="AT43" s="21">
        <f t="shared" si="123"/>
        <v>6</v>
      </c>
      <c r="AU43" s="21">
        <f t="shared" si="124"/>
        <v>3</v>
      </c>
      <c r="AV43" s="21">
        <f t="shared" si="125"/>
        <v>18</v>
      </c>
      <c r="AW43" s="21">
        <f>VLOOKUP($L43,EQP!$A$2:$S$10,14,0)</f>
        <v>730</v>
      </c>
      <c r="AX43" s="21">
        <f>VLOOKUP($L43,EQP!$A$2:$S$10,15,0)</f>
        <v>720</v>
      </c>
      <c r="AY43" s="21">
        <f>VLOOKUP($L43,EQP!$A$2:$S$10,16,0)</f>
        <v>780</v>
      </c>
      <c r="AZ43" s="21">
        <f t="shared" si="107"/>
        <v>1</v>
      </c>
      <c r="BA43" s="21">
        <f t="shared" si="108"/>
        <v>6</v>
      </c>
      <c r="BB43" s="21">
        <f t="shared" si="109"/>
        <v>3</v>
      </c>
      <c r="BC43" s="21">
        <f t="shared" si="126"/>
        <v>6</v>
      </c>
      <c r="BD43" s="21">
        <f t="shared" si="127"/>
        <v>3</v>
      </c>
      <c r="BE43" s="21">
        <f t="shared" si="128"/>
        <v>18</v>
      </c>
      <c r="BF43" s="21">
        <f>VLOOKUP($L43,EQP!$A$2:$S$10,17,0)</f>
        <v>780</v>
      </c>
      <c r="BG43" s="21">
        <f>VLOOKUP($L43,EQP!$A$2:$S$10,18,0)</f>
        <v>720</v>
      </c>
      <c r="BH43" s="21">
        <f>VLOOKUP($L43,EQP!$A$2:$S$10,19,0)</f>
        <v>730</v>
      </c>
      <c r="BI43" s="21">
        <f t="shared" si="110"/>
        <v>1</v>
      </c>
      <c r="BJ43" s="21">
        <f t="shared" si="111"/>
        <v>6</v>
      </c>
      <c r="BK43" s="21">
        <f t="shared" si="112"/>
        <v>3</v>
      </c>
      <c r="BL43" s="21">
        <f t="shared" si="129"/>
        <v>6</v>
      </c>
      <c r="BM43" s="21">
        <f t="shared" si="130"/>
        <v>3</v>
      </c>
      <c r="BN43" s="21">
        <f t="shared" si="131"/>
        <v>18</v>
      </c>
    </row>
    <row r="44" spans="1:66" x14ac:dyDescent="0.3">
      <c r="A44" s="5" t="str">
        <f t="shared" si="18"/>
        <v>1</v>
      </c>
      <c r="B44" s="6">
        <f t="shared" si="86"/>
        <v>4</v>
      </c>
      <c r="C44" s="7">
        <f t="shared" si="87"/>
        <v>14007837</v>
      </c>
      <c r="D44" s="7" t="str">
        <f t="shared" si="88"/>
        <v>CLUSTER BEZEL LOWER ASSY</v>
      </c>
      <c r="E44" s="6">
        <f t="shared" si="89"/>
        <v>365</v>
      </c>
      <c r="F44" s="6">
        <f t="shared" si="90"/>
        <v>63</v>
      </c>
      <c r="G44" s="6">
        <f t="shared" si="91"/>
        <v>225</v>
      </c>
      <c r="H44" s="6">
        <f t="shared" si="92"/>
        <v>96</v>
      </c>
      <c r="I44" s="6">
        <f t="shared" si="93"/>
        <v>1</v>
      </c>
      <c r="J44" s="6">
        <f t="shared" si="94"/>
        <v>96</v>
      </c>
      <c r="K44" s="6">
        <f t="shared" si="113"/>
        <v>38</v>
      </c>
      <c r="L44" s="5" t="str">
        <f t="shared" si="132"/>
        <v>FCS (810 x 760 x 860)mm</v>
      </c>
      <c r="M44" s="21">
        <f>VLOOKUP($L44,EQP!$A$2:$S$10,2,0)</f>
        <v>780</v>
      </c>
      <c r="N44" s="21">
        <f>VLOOKUP($L44,EQP!$A$2:$S$10,3,0)</f>
        <v>730</v>
      </c>
      <c r="O44" s="21">
        <f>VLOOKUP($L44,EQP!$A$2:$S$10,4,0)</f>
        <v>720</v>
      </c>
      <c r="P44" s="21">
        <f t="shared" si="95"/>
        <v>2</v>
      </c>
      <c r="Q44" s="21">
        <f t="shared" si="96"/>
        <v>10</v>
      </c>
      <c r="R44" s="21">
        <f t="shared" si="97"/>
        <v>3</v>
      </c>
      <c r="S44" s="21">
        <f t="shared" si="114"/>
        <v>20</v>
      </c>
      <c r="T44" s="21">
        <f t="shared" si="115"/>
        <v>3</v>
      </c>
      <c r="U44" s="21">
        <f t="shared" si="116"/>
        <v>60</v>
      </c>
      <c r="V44" s="21">
        <f>VLOOKUP($L44,EQP!$A$2:$S$10,5,0)</f>
        <v>730</v>
      </c>
      <c r="W44" s="21">
        <f>VLOOKUP($L44,EQP!$A$2:$S$10,6,0)</f>
        <v>780</v>
      </c>
      <c r="X44" s="21">
        <f>VLOOKUP($L44,EQP!$A$2:$S$10,7,0)</f>
        <v>720</v>
      </c>
      <c r="Y44" s="21">
        <f t="shared" si="98"/>
        <v>1</v>
      </c>
      <c r="Z44" s="21">
        <f t="shared" si="99"/>
        <v>11</v>
      </c>
      <c r="AA44" s="21">
        <f t="shared" si="100"/>
        <v>3</v>
      </c>
      <c r="AB44" s="21">
        <f t="shared" si="117"/>
        <v>11</v>
      </c>
      <c r="AC44" s="21">
        <f t="shared" si="118"/>
        <v>3</v>
      </c>
      <c r="AD44" s="21">
        <f t="shared" si="119"/>
        <v>33</v>
      </c>
      <c r="AE44" s="21">
        <f>VLOOKUP($L44,EQP!$A$2:$S$10,8,0)</f>
        <v>720</v>
      </c>
      <c r="AF44" s="21">
        <f>VLOOKUP($L44,EQP!$A$2:$S$10,9,0)</f>
        <v>780</v>
      </c>
      <c r="AG44" s="21">
        <f>VLOOKUP($L44,EQP!$A$2:$S$10,10,0)</f>
        <v>730</v>
      </c>
      <c r="AH44" s="21">
        <f t="shared" si="101"/>
        <v>1</v>
      </c>
      <c r="AI44" s="21">
        <f t="shared" si="102"/>
        <v>11</v>
      </c>
      <c r="AJ44" s="21">
        <f t="shared" si="103"/>
        <v>3</v>
      </c>
      <c r="AK44" s="21">
        <f t="shared" si="120"/>
        <v>11</v>
      </c>
      <c r="AL44" s="21">
        <f t="shared" si="121"/>
        <v>3</v>
      </c>
      <c r="AM44" s="21">
        <f t="shared" si="122"/>
        <v>33</v>
      </c>
      <c r="AN44" s="21">
        <f>VLOOKUP($L44,EQP!$A$2:$S$10,11,0)</f>
        <v>720</v>
      </c>
      <c r="AO44" s="21">
        <f>VLOOKUP($L44,EQP!$A$2:$S$10,12,0)</f>
        <v>730</v>
      </c>
      <c r="AP44" s="21">
        <f>VLOOKUP($L44,EQP!$A$2:$S$10,13,0)</f>
        <v>780</v>
      </c>
      <c r="AQ44" s="21">
        <f t="shared" si="104"/>
        <v>1</v>
      </c>
      <c r="AR44" s="21">
        <f t="shared" si="105"/>
        <v>10</v>
      </c>
      <c r="AS44" s="21">
        <f t="shared" si="106"/>
        <v>3</v>
      </c>
      <c r="AT44" s="21">
        <f t="shared" si="123"/>
        <v>10</v>
      </c>
      <c r="AU44" s="21">
        <f t="shared" si="124"/>
        <v>3</v>
      </c>
      <c r="AV44" s="21">
        <f t="shared" si="125"/>
        <v>30</v>
      </c>
      <c r="AW44" s="21">
        <f>VLOOKUP($L44,EQP!$A$2:$S$10,14,0)</f>
        <v>730</v>
      </c>
      <c r="AX44" s="21">
        <f>VLOOKUP($L44,EQP!$A$2:$S$10,15,0)</f>
        <v>720</v>
      </c>
      <c r="AY44" s="21">
        <f>VLOOKUP($L44,EQP!$A$2:$S$10,16,0)</f>
        <v>780</v>
      </c>
      <c r="AZ44" s="21">
        <f t="shared" si="107"/>
        <v>1</v>
      </c>
      <c r="BA44" s="21">
        <f t="shared" si="108"/>
        <v>10</v>
      </c>
      <c r="BB44" s="21">
        <f t="shared" si="109"/>
        <v>3</v>
      </c>
      <c r="BC44" s="21">
        <f t="shared" si="126"/>
        <v>10</v>
      </c>
      <c r="BD44" s="21">
        <f t="shared" si="127"/>
        <v>3</v>
      </c>
      <c r="BE44" s="21">
        <f t="shared" si="128"/>
        <v>30</v>
      </c>
      <c r="BF44" s="21">
        <f>VLOOKUP($L44,EQP!$A$2:$S$10,17,0)</f>
        <v>780</v>
      </c>
      <c r="BG44" s="21">
        <f>VLOOKUP($L44,EQP!$A$2:$S$10,18,0)</f>
        <v>720</v>
      </c>
      <c r="BH44" s="21">
        <f>VLOOKUP($L44,EQP!$A$2:$S$10,19,0)</f>
        <v>730</v>
      </c>
      <c r="BI44" s="21">
        <f t="shared" si="110"/>
        <v>2</v>
      </c>
      <c r="BJ44" s="21">
        <f t="shared" si="111"/>
        <v>10</v>
      </c>
      <c r="BK44" s="21">
        <f t="shared" si="112"/>
        <v>3</v>
      </c>
      <c r="BL44" s="21">
        <f t="shared" si="129"/>
        <v>20</v>
      </c>
      <c r="BM44" s="21">
        <f t="shared" si="130"/>
        <v>3</v>
      </c>
      <c r="BN44" s="21">
        <f t="shared" si="131"/>
        <v>60</v>
      </c>
    </row>
    <row r="45" spans="1:66" x14ac:dyDescent="0.3">
      <c r="A45" s="5" t="str">
        <f t="shared" si="18"/>
        <v>1</v>
      </c>
      <c r="B45" s="6">
        <f t="shared" si="86"/>
        <v>5</v>
      </c>
      <c r="C45" s="7">
        <f t="shared" si="87"/>
        <v>14007838</v>
      </c>
      <c r="D45" s="7" t="str">
        <f t="shared" si="88"/>
        <v>DRIVER SIDE BOOSTER COVER ASSY</v>
      </c>
      <c r="E45" s="6">
        <f t="shared" si="89"/>
        <v>410</v>
      </c>
      <c r="F45" s="6">
        <f t="shared" si="90"/>
        <v>280</v>
      </c>
      <c r="G45" s="6">
        <f t="shared" si="91"/>
        <v>160</v>
      </c>
      <c r="H45" s="6">
        <f t="shared" si="92"/>
        <v>16</v>
      </c>
      <c r="I45" s="6">
        <f t="shared" si="93"/>
        <v>1</v>
      </c>
      <c r="J45" s="6">
        <f t="shared" si="94"/>
        <v>16</v>
      </c>
      <c r="K45" s="6">
        <f t="shared" si="113"/>
        <v>202</v>
      </c>
      <c r="L45" s="5" t="str">
        <f t="shared" si="132"/>
        <v>FCS (810 x 760 x 860)mm</v>
      </c>
      <c r="M45" s="21">
        <f>VLOOKUP($L45,EQP!$A$2:$S$10,2,0)</f>
        <v>780</v>
      </c>
      <c r="N45" s="21">
        <f>VLOOKUP($L45,EQP!$A$2:$S$10,3,0)</f>
        <v>730</v>
      </c>
      <c r="O45" s="21">
        <f>VLOOKUP($L45,EQP!$A$2:$S$10,4,0)</f>
        <v>720</v>
      </c>
      <c r="P45" s="21">
        <f t="shared" si="95"/>
        <v>1</v>
      </c>
      <c r="Q45" s="21">
        <f t="shared" si="96"/>
        <v>2</v>
      </c>
      <c r="R45" s="21">
        <f t="shared" si="97"/>
        <v>4</v>
      </c>
      <c r="S45" s="21">
        <f t="shared" si="114"/>
        <v>2</v>
      </c>
      <c r="T45" s="21">
        <f t="shared" si="115"/>
        <v>4</v>
      </c>
      <c r="U45" s="21">
        <f t="shared" si="116"/>
        <v>8</v>
      </c>
      <c r="V45" s="21">
        <f>VLOOKUP($L45,EQP!$A$2:$S$10,5,0)</f>
        <v>730</v>
      </c>
      <c r="W45" s="21">
        <f>VLOOKUP($L45,EQP!$A$2:$S$10,6,0)</f>
        <v>780</v>
      </c>
      <c r="X45" s="21">
        <f>VLOOKUP($L45,EQP!$A$2:$S$10,7,0)</f>
        <v>720</v>
      </c>
      <c r="Y45" s="21">
        <f t="shared" si="98"/>
        <v>1</v>
      </c>
      <c r="Z45" s="21">
        <f t="shared" si="99"/>
        <v>2</v>
      </c>
      <c r="AA45" s="21">
        <f t="shared" si="100"/>
        <v>4</v>
      </c>
      <c r="AB45" s="21">
        <f t="shared" si="117"/>
        <v>2</v>
      </c>
      <c r="AC45" s="21">
        <f t="shared" si="118"/>
        <v>4</v>
      </c>
      <c r="AD45" s="21">
        <f t="shared" si="119"/>
        <v>8</v>
      </c>
      <c r="AE45" s="21">
        <f>VLOOKUP($L45,EQP!$A$2:$S$10,8,0)</f>
        <v>720</v>
      </c>
      <c r="AF45" s="21">
        <f>VLOOKUP($L45,EQP!$A$2:$S$10,9,0)</f>
        <v>780</v>
      </c>
      <c r="AG45" s="21">
        <f>VLOOKUP($L45,EQP!$A$2:$S$10,10,0)</f>
        <v>730</v>
      </c>
      <c r="AH45" s="21">
        <f t="shared" si="101"/>
        <v>1</v>
      </c>
      <c r="AI45" s="21">
        <f t="shared" si="102"/>
        <v>2</v>
      </c>
      <c r="AJ45" s="21">
        <f t="shared" si="103"/>
        <v>4</v>
      </c>
      <c r="AK45" s="21">
        <f t="shared" si="120"/>
        <v>2</v>
      </c>
      <c r="AL45" s="21">
        <f t="shared" si="121"/>
        <v>4</v>
      </c>
      <c r="AM45" s="21">
        <f t="shared" si="122"/>
        <v>8</v>
      </c>
      <c r="AN45" s="21">
        <f>VLOOKUP($L45,EQP!$A$2:$S$10,11,0)</f>
        <v>720</v>
      </c>
      <c r="AO45" s="21">
        <f>VLOOKUP($L45,EQP!$A$2:$S$10,12,0)</f>
        <v>730</v>
      </c>
      <c r="AP45" s="21">
        <f>VLOOKUP($L45,EQP!$A$2:$S$10,13,0)</f>
        <v>780</v>
      </c>
      <c r="AQ45" s="21">
        <f t="shared" si="104"/>
        <v>1</v>
      </c>
      <c r="AR45" s="21">
        <f t="shared" si="105"/>
        <v>2</v>
      </c>
      <c r="AS45" s="21">
        <f t="shared" si="106"/>
        <v>4</v>
      </c>
      <c r="AT45" s="21">
        <f t="shared" si="123"/>
        <v>2</v>
      </c>
      <c r="AU45" s="21">
        <f t="shared" si="124"/>
        <v>4</v>
      </c>
      <c r="AV45" s="21">
        <f t="shared" si="125"/>
        <v>8</v>
      </c>
      <c r="AW45" s="21">
        <f>VLOOKUP($L45,EQP!$A$2:$S$10,14,0)</f>
        <v>730</v>
      </c>
      <c r="AX45" s="21">
        <f>VLOOKUP($L45,EQP!$A$2:$S$10,15,0)</f>
        <v>720</v>
      </c>
      <c r="AY45" s="21">
        <f>VLOOKUP($L45,EQP!$A$2:$S$10,16,0)</f>
        <v>780</v>
      </c>
      <c r="AZ45" s="21">
        <f t="shared" si="107"/>
        <v>1</v>
      </c>
      <c r="BA45" s="21">
        <f t="shared" si="108"/>
        <v>2</v>
      </c>
      <c r="BB45" s="21">
        <f t="shared" si="109"/>
        <v>4</v>
      </c>
      <c r="BC45" s="21">
        <f t="shared" si="126"/>
        <v>2</v>
      </c>
      <c r="BD45" s="21">
        <f t="shared" si="127"/>
        <v>4</v>
      </c>
      <c r="BE45" s="21">
        <f t="shared" si="128"/>
        <v>8</v>
      </c>
      <c r="BF45" s="21">
        <f>VLOOKUP($L45,EQP!$A$2:$S$10,17,0)</f>
        <v>780</v>
      </c>
      <c r="BG45" s="21">
        <f>VLOOKUP($L45,EQP!$A$2:$S$10,18,0)</f>
        <v>720</v>
      </c>
      <c r="BH45" s="21">
        <f>VLOOKUP($L45,EQP!$A$2:$S$10,19,0)</f>
        <v>730</v>
      </c>
      <c r="BI45" s="21">
        <f t="shared" si="110"/>
        <v>1</v>
      </c>
      <c r="BJ45" s="21">
        <f t="shared" si="111"/>
        <v>2</v>
      </c>
      <c r="BK45" s="21">
        <f t="shared" si="112"/>
        <v>4</v>
      </c>
      <c r="BL45" s="21">
        <f t="shared" si="129"/>
        <v>2</v>
      </c>
      <c r="BM45" s="21">
        <f t="shared" si="130"/>
        <v>4</v>
      </c>
      <c r="BN45" s="21">
        <f t="shared" si="131"/>
        <v>8</v>
      </c>
    </row>
    <row r="46" spans="1:66" x14ac:dyDescent="0.3">
      <c r="A46" s="5" t="str">
        <f t="shared" si="18"/>
        <v>1</v>
      </c>
      <c r="B46" s="6">
        <f t="shared" si="86"/>
        <v>6</v>
      </c>
      <c r="C46" s="7">
        <f t="shared" si="87"/>
        <v>14007839</v>
      </c>
      <c r="D46" s="7" t="str">
        <f t="shared" si="88"/>
        <v>PASSENGER SIDE KNEE COVER RHD ASSY</v>
      </c>
      <c r="E46" s="6">
        <f t="shared" si="89"/>
        <v>380</v>
      </c>
      <c r="F46" s="6">
        <f t="shared" si="90"/>
        <v>110</v>
      </c>
      <c r="G46" s="6">
        <f t="shared" si="91"/>
        <v>295</v>
      </c>
      <c r="H46" s="6">
        <f t="shared" si="92"/>
        <v>64</v>
      </c>
      <c r="I46" s="6">
        <f t="shared" si="93"/>
        <v>1</v>
      </c>
      <c r="J46" s="6">
        <f t="shared" si="94"/>
        <v>64</v>
      </c>
      <c r="K46" s="6">
        <f t="shared" si="113"/>
        <v>50</v>
      </c>
      <c r="L46" s="5" t="str">
        <f t="shared" si="132"/>
        <v>FCS (810 x 760 x 860)mm</v>
      </c>
      <c r="M46" s="21">
        <f>VLOOKUP($L46,EQP!$A$2:$S$10,2,0)</f>
        <v>780</v>
      </c>
      <c r="N46" s="21">
        <f>VLOOKUP($L46,EQP!$A$2:$S$10,3,0)</f>
        <v>730</v>
      </c>
      <c r="O46" s="21">
        <f>VLOOKUP($L46,EQP!$A$2:$S$10,4,0)</f>
        <v>720</v>
      </c>
      <c r="P46" s="21">
        <f t="shared" si="95"/>
        <v>2</v>
      </c>
      <c r="Q46" s="21">
        <f t="shared" si="96"/>
        <v>6</v>
      </c>
      <c r="R46" s="21">
        <f t="shared" si="97"/>
        <v>2</v>
      </c>
      <c r="S46" s="21">
        <f t="shared" si="114"/>
        <v>12</v>
      </c>
      <c r="T46" s="21">
        <f t="shared" si="115"/>
        <v>2</v>
      </c>
      <c r="U46" s="21">
        <f t="shared" si="116"/>
        <v>24</v>
      </c>
      <c r="V46" s="21">
        <f>VLOOKUP($L46,EQP!$A$2:$S$10,5,0)</f>
        <v>730</v>
      </c>
      <c r="W46" s="21">
        <f>VLOOKUP($L46,EQP!$A$2:$S$10,6,0)</f>
        <v>780</v>
      </c>
      <c r="X46" s="21">
        <f>VLOOKUP($L46,EQP!$A$2:$S$10,7,0)</f>
        <v>720</v>
      </c>
      <c r="Y46" s="21">
        <f t="shared" si="98"/>
        <v>1</v>
      </c>
      <c r="Z46" s="21">
        <f t="shared" si="99"/>
        <v>6</v>
      </c>
      <c r="AA46" s="21">
        <f t="shared" si="100"/>
        <v>2</v>
      </c>
      <c r="AB46" s="21">
        <f t="shared" si="117"/>
        <v>6</v>
      </c>
      <c r="AC46" s="21">
        <f t="shared" si="118"/>
        <v>2</v>
      </c>
      <c r="AD46" s="21">
        <f t="shared" si="119"/>
        <v>12</v>
      </c>
      <c r="AE46" s="21">
        <f>VLOOKUP($L46,EQP!$A$2:$S$10,8,0)</f>
        <v>720</v>
      </c>
      <c r="AF46" s="21">
        <f>VLOOKUP($L46,EQP!$A$2:$S$10,9,0)</f>
        <v>780</v>
      </c>
      <c r="AG46" s="21">
        <f>VLOOKUP($L46,EQP!$A$2:$S$10,10,0)</f>
        <v>730</v>
      </c>
      <c r="AH46" s="21">
        <f t="shared" si="101"/>
        <v>1</v>
      </c>
      <c r="AI46" s="21">
        <f t="shared" si="102"/>
        <v>6</v>
      </c>
      <c r="AJ46" s="21">
        <f t="shared" si="103"/>
        <v>2</v>
      </c>
      <c r="AK46" s="21">
        <f t="shared" si="120"/>
        <v>6</v>
      </c>
      <c r="AL46" s="21">
        <f t="shared" si="121"/>
        <v>2</v>
      </c>
      <c r="AM46" s="21">
        <f t="shared" si="122"/>
        <v>12</v>
      </c>
      <c r="AN46" s="21">
        <f>VLOOKUP($L46,EQP!$A$2:$S$10,11,0)</f>
        <v>720</v>
      </c>
      <c r="AO46" s="21">
        <f>VLOOKUP($L46,EQP!$A$2:$S$10,12,0)</f>
        <v>730</v>
      </c>
      <c r="AP46" s="21">
        <f>VLOOKUP($L46,EQP!$A$2:$S$10,13,0)</f>
        <v>780</v>
      </c>
      <c r="AQ46" s="21">
        <f t="shared" si="104"/>
        <v>1</v>
      </c>
      <c r="AR46" s="21">
        <f t="shared" si="105"/>
        <v>6</v>
      </c>
      <c r="AS46" s="21">
        <f t="shared" si="106"/>
        <v>2</v>
      </c>
      <c r="AT46" s="21">
        <f t="shared" si="123"/>
        <v>6</v>
      </c>
      <c r="AU46" s="21">
        <f t="shared" si="124"/>
        <v>2</v>
      </c>
      <c r="AV46" s="21">
        <f t="shared" si="125"/>
        <v>12</v>
      </c>
      <c r="AW46" s="21">
        <f>VLOOKUP($L46,EQP!$A$2:$S$10,14,0)</f>
        <v>730</v>
      </c>
      <c r="AX46" s="21">
        <f>VLOOKUP($L46,EQP!$A$2:$S$10,15,0)</f>
        <v>720</v>
      </c>
      <c r="AY46" s="21">
        <f>VLOOKUP($L46,EQP!$A$2:$S$10,16,0)</f>
        <v>780</v>
      </c>
      <c r="AZ46" s="21">
        <f t="shared" si="107"/>
        <v>1</v>
      </c>
      <c r="BA46" s="21">
        <f t="shared" si="108"/>
        <v>6</v>
      </c>
      <c r="BB46" s="21">
        <f t="shared" si="109"/>
        <v>2</v>
      </c>
      <c r="BC46" s="21">
        <f t="shared" si="126"/>
        <v>6</v>
      </c>
      <c r="BD46" s="21">
        <f t="shared" si="127"/>
        <v>2</v>
      </c>
      <c r="BE46" s="21">
        <f t="shared" si="128"/>
        <v>12</v>
      </c>
      <c r="BF46" s="21">
        <f>VLOOKUP($L46,EQP!$A$2:$S$10,17,0)</f>
        <v>780</v>
      </c>
      <c r="BG46" s="21">
        <f>VLOOKUP($L46,EQP!$A$2:$S$10,18,0)</f>
        <v>720</v>
      </c>
      <c r="BH46" s="21">
        <f>VLOOKUP($L46,EQP!$A$2:$S$10,19,0)</f>
        <v>730</v>
      </c>
      <c r="BI46" s="21">
        <f t="shared" si="110"/>
        <v>2</v>
      </c>
      <c r="BJ46" s="21">
        <f t="shared" si="111"/>
        <v>6</v>
      </c>
      <c r="BK46" s="21">
        <f t="shared" si="112"/>
        <v>2</v>
      </c>
      <c r="BL46" s="21">
        <f t="shared" si="129"/>
        <v>12</v>
      </c>
      <c r="BM46" s="21">
        <f t="shared" si="130"/>
        <v>2</v>
      </c>
      <c r="BN46" s="21">
        <f t="shared" si="131"/>
        <v>24</v>
      </c>
    </row>
    <row r="47" spans="1:66" x14ac:dyDescent="0.3">
      <c r="A47" s="5" t="str">
        <f t="shared" si="18"/>
        <v>1</v>
      </c>
      <c r="B47" s="6">
        <f t="shared" si="86"/>
        <v>7</v>
      </c>
      <c r="C47" s="7">
        <f t="shared" si="87"/>
        <v>14007840</v>
      </c>
      <c r="D47" s="7" t="str">
        <f t="shared" si="88"/>
        <v>END CAP LH ASSY</v>
      </c>
      <c r="E47" s="6">
        <f t="shared" si="89"/>
        <v>130</v>
      </c>
      <c r="F47" s="6">
        <f t="shared" si="90"/>
        <v>50</v>
      </c>
      <c r="G47" s="6">
        <f t="shared" si="91"/>
        <v>385</v>
      </c>
      <c r="H47" s="6">
        <f t="shared" si="92"/>
        <v>192</v>
      </c>
      <c r="I47" s="6">
        <f t="shared" si="93"/>
        <v>1</v>
      </c>
      <c r="J47" s="6">
        <f t="shared" si="94"/>
        <v>192</v>
      </c>
      <c r="K47" s="6">
        <f t="shared" si="113"/>
        <v>18</v>
      </c>
      <c r="L47" s="5" t="str">
        <f t="shared" si="132"/>
        <v>FCS (810 x 760 x 860)mm</v>
      </c>
      <c r="M47" s="21">
        <f>VLOOKUP($L47,EQP!$A$2:$S$10,2,0)</f>
        <v>780</v>
      </c>
      <c r="N47" s="21">
        <f>VLOOKUP($L47,EQP!$A$2:$S$10,3,0)</f>
        <v>730</v>
      </c>
      <c r="O47" s="21">
        <f>VLOOKUP($L47,EQP!$A$2:$S$10,4,0)</f>
        <v>720</v>
      </c>
      <c r="P47" s="21">
        <f t="shared" si="95"/>
        <v>5</v>
      </c>
      <c r="Q47" s="21">
        <f t="shared" si="96"/>
        <v>13</v>
      </c>
      <c r="R47" s="21">
        <f t="shared" si="97"/>
        <v>1</v>
      </c>
      <c r="S47" s="21">
        <f t="shared" si="114"/>
        <v>65</v>
      </c>
      <c r="T47" s="21">
        <f t="shared" si="115"/>
        <v>1</v>
      </c>
      <c r="U47" s="21">
        <f t="shared" si="116"/>
        <v>65</v>
      </c>
      <c r="V47" s="21">
        <f>VLOOKUP($L47,EQP!$A$2:$S$10,5,0)</f>
        <v>730</v>
      </c>
      <c r="W47" s="21">
        <f>VLOOKUP($L47,EQP!$A$2:$S$10,6,0)</f>
        <v>780</v>
      </c>
      <c r="X47" s="21">
        <f>VLOOKUP($L47,EQP!$A$2:$S$10,7,0)</f>
        <v>720</v>
      </c>
      <c r="Y47" s="21">
        <f t="shared" si="98"/>
        <v>5</v>
      </c>
      <c r="Z47" s="21">
        <f t="shared" si="99"/>
        <v>14</v>
      </c>
      <c r="AA47" s="21">
        <f t="shared" si="100"/>
        <v>1</v>
      </c>
      <c r="AB47" s="21">
        <f t="shared" si="117"/>
        <v>70</v>
      </c>
      <c r="AC47" s="21">
        <f t="shared" si="118"/>
        <v>1</v>
      </c>
      <c r="AD47" s="21">
        <f t="shared" si="119"/>
        <v>70</v>
      </c>
      <c r="AE47" s="21">
        <f>VLOOKUP($L47,EQP!$A$2:$S$10,8,0)</f>
        <v>720</v>
      </c>
      <c r="AF47" s="21">
        <f>VLOOKUP($L47,EQP!$A$2:$S$10,9,0)</f>
        <v>780</v>
      </c>
      <c r="AG47" s="21">
        <f>VLOOKUP($L47,EQP!$A$2:$S$10,10,0)</f>
        <v>730</v>
      </c>
      <c r="AH47" s="21">
        <f t="shared" si="101"/>
        <v>5</v>
      </c>
      <c r="AI47" s="21">
        <f t="shared" si="102"/>
        <v>14</v>
      </c>
      <c r="AJ47" s="21">
        <f t="shared" si="103"/>
        <v>1</v>
      </c>
      <c r="AK47" s="21">
        <f t="shared" si="120"/>
        <v>70</v>
      </c>
      <c r="AL47" s="21">
        <f t="shared" si="121"/>
        <v>1</v>
      </c>
      <c r="AM47" s="21">
        <f t="shared" si="122"/>
        <v>70</v>
      </c>
      <c r="AN47" s="21">
        <f>VLOOKUP($L47,EQP!$A$2:$S$10,11,0)</f>
        <v>720</v>
      </c>
      <c r="AO47" s="21">
        <f>VLOOKUP($L47,EQP!$A$2:$S$10,12,0)</f>
        <v>730</v>
      </c>
      <c r="AP47" s="21">
        <f>VLOOKUP($L47,EQP!$A$2:$S$10,13,0)</f>
        <v>780</v>
      </c>
      <c r="AQ47" s="21">
        <f t="shared" si="104"/>
        <v>5</v>
      </c>
      <c r="AR47" s="21">
        <f t="shared" si="105"/>
        <v>13</v>
      </c>
      <c r="AS47" s="21">
        <f t="shared" si="106"/>
        <v>2</v>
      </c>
      <c r="AT47" s="21">
        <f t="shared" si="123"/>
        <v>65</v>
      </c>
      <c r="AU47" s="21">
        <f t="shared" si="124"/>
        <v>2</v>
      </c>
      <c r="AV47" s="21">
        <f t="shared" si="125"/>
        <v>130</v>
      </c>
      <c r="AW47" s="21">
        <f>VLOOKUP($L47,EQP!$A$2:$S$10,14,0)</f>
        <v>730</v>
      </c>
      <c r="AX47" s="21">
        <f>VLOOKUP($L47,EQP!$A$2:$S$10,15,0)</f>
        <v>720</v>
      </c>
      <c r="AY47" s="21">
        <f>VLOOKUP($L47,EQP!$A$2:$S$10,16,0)</f>
        <v>780</v>
      </c>
      <c r="AZ47" s="21">
        <f t="shared" si="107"/>
        <v>5</v>
      </c>
      <c r="BA47" s="21">
        <f t="shared" si="108"/>
        <v>13</v>
      </c>
      <c r="BB47" s="21">
        <f t="shared" si="109"/>
        <v>2</v>
      </c>
      <c r="BC47" s="21">
        <f t="shared" si="126"/>
        <v>65</v>
      </c>
      <c r="BD47" s="21">
        <f t="shared" si="127"/>
        <v>2</v>
      </c>
      <c r="BE47" s="21">
        <f t="shared" si="128"/>
        <v>130</v>
      </c>
      <c r="BF47" s="21">
        <f>VLOOKUP($L47,EQP!$A$2:$S$10,17,0)</f>
        <v>780</v>
      </c>
      <c r="BG47" s="21">
        <f>VLOOKUP($L47,EQP!$A$2:$S$10,18,0)</f>
        <v>720</v>
      </c>
      <c r="BH47" s="21">
        <f>VLOOKUP($L47,EQP!$A$2:$S$10,19,0)</f>
        <v>730</v>
      </c>
      <c r="BI47" s="21">
        <f t="shared" si="110"/>
        <v>5</v>
      </c>
      <c r="BJ47" s="21">
        <f t="shared" si="111"/>
        <v>13</v>
      </c>
      <c r="BK47" s="21">
        <f t="shared" si="112"/>
        <v>1</v>
      </c>
      <c r="BL47" s="21">
        <f t="shared" si="129"/>
        <v>65</v>
      </c>
      <c r="BM47" s="21">
        <f t="shared" si="130"/>
        <v>1</v>
      </c>
      <c r="BN47" s="21">
        <f t="shared" si="131"/>
        <v>65</v>
      </c>
    </row>
    <row r="48" spans="1:66" x14ac:dyDescent="0.3">
      <c r="A48" s="5" t="str">
        <f t="shared" si="18"/>
        <v>1</v>
      </c>
      <c r="B48" s="6">
        <f t="shared" si="86"/>
        <v>8</v>
      </c>
      <c r="C48" s="7">
        <f t="shared" si="87"/>
        <v>14007841</v>
      </c>
      <c r="D48" s="7" t="str">
        <f t="shared" si="88"/>
        <v>END CAP RH ASSY</v>
      </c>
      <c r="E48" s="6">
        <f t="shared" si="89"/>
        <v>130</v>
      </c>
      <c r="F48" s="6">
        <f t="shared" si="90"/>
        <v>50</v>
      </c>
      <c r="G48" s="6">
        <f t="shared" si="91"/>
        <v>385</v>
      </c>
      <c r="H48" s="6">
        <f t="shared" si="92"/>
        <v>192</v>
      </c>
      <c r="I48" s="6">
        <f t="shared" si="93"/>
        <v>1</v>
      </c>
      <c r="J48" s="6">
        <f t="shared" si="94"/>
        <v>192</v>
      </c>
      <c r="K48" s="6">
        <f t="shared" si="113"/>
        <v>18</v>
      </c>
      <c r="L48" s="5" t="str">
        <f t="shared" si="132"/>
        <v>FCS (810 x 760 x 860)mm</v>
      </c>
      <c r="M48" s="21">
        <f>VLOOKUP($L48,EQP!$A$2:$S$10,2,0)</f>
        <v>780</v>
      </c>
      <c r="N48" s="21">
        <f>VLOOKUP($L48,EQP!$A$2:$S$10,3,0)</f>
        <v>730</v>
      </c>
      <c r="O48" s="21">
        <f>VLOOKUP($L48,EQP!$A$2:$S$10,4,0)</f>
        <v>720</v>
      </c>
      <c r="P48" s="21">
        <f t="shared" si="95"/>
        <v>5</v>
      </c>
      <c r="Q48" s="21">
        <f t="shared" si="96"/>
        <v>13</v>
      </c>
      <c r="R48" s="21">
        <f t="shared" si="97"/>
        <v>1</v>
      </c>
      <c r="S48" s="21">
        <f t="shared" si="114"/>
        <v>65</v>
      </c>
      <c r="T48" s="21">
        <f t="shared" si="115"/>
        <v>1</v>
      </c>
      <c r="U48" s="21">
        <f t="shared" si="116"/>
        <v>65</v>
      </c>
      <c r="V48" s="21">
        <f>VLOOKUP($L48,EQP!$A$2:$S$10,5,0)</f>
        <v>730</v>
      </c>
      <c r="W48" s="21">
        <f>VLOOKUP($L48,EQP!$A$2:$S$10,6,0)</f>
        <v>780</v>
      </c>
      <c r="X48" s="21">
        <f>VLOOKUP($L48,EQP!$A$2:$S$10,7,0)</f>
        <v>720</v>
      </c>
      <c r="Y48" s="21">
        <f t="shared" si="98"/>
        <v>5</v>
      </c>
      <c r="Z48" s="21">
        <f t="shared" si="99"/>
        <v>14</v>
      </c>
      <c r="AA48" s="21">
        <f t="shared" si="100"/>
        <v>1</v>
      </c>
      <c r="AB48" s="21">
        <f t="shared" si="117"/>
        <v>70</v>
      </c>
      <c r="AC48" s="21">
        <f t="shared" si="118"/>
        <v>1</v>
      </c>
      <c r="AD48" s="21">
        <f t="shared" si="119"/>
        <v>70</v>
      </c>
      <c r="AE48" s="21">
        <f>VLOOKUP($L48,EQP!$A$2:$S$10,8,0)</f>
        <v>720</v>
      </c>
      <c r="AF48" s="21">
        <f>VLOOKUP($L48,EQP!$A$2:$S$10,9,0)</f>
        <v>780</v>
      </c>
      <c r="AG48" s="21">
        <f>VLOOKUP($L48,EQP!$A$2:$S$10,10,0)</f>
        <v>730</v>
      </c>
      <c r="AH48" s="21">
        <f t="shared" si="101"/>
        <v>5</v>
      </c>
      <c r="AI48" s="21">
        <f t="shared" si="102"/>
        <v>14</v>
      </c>
      <c r="AJ48" s="21">
        <f t="shared" si="103"/>
        <v>1</v>
      </c>
      <c r="AK48" s="21">
        <f t="shared" si="120"/>
        <v>70</v>
      </c>
      <c r="AL48" s="21">
        <f t="shared" si="121"/>
        <v>1</v>
      </c>
      <c r="AM48" s="21">
        <f t="shared" si="122"/>
        <v>70</v>
      </c>
      <c r="AN48" s="21">
        <f>VLOOKUP($L48,EQP!$A$2:$S$10,11,0)</f>
        <v>720</v>
      </c>
      <c r="AO48" s="21">
        <f>VLOOKUP($L48,EQP!$A$2:$S$10,12,0)</f>
        <v>730</v>
      </c>
      <c r="AP48" s="21">
        <f>VLOOKUP($L48,EQP!$A$2:$S$10,13,0)</f>
        <v>780</v>
      </c>
      <c r="AQ48" s="21">
        <f t="shared" si="104"/>
        <v>5</v>
      </c>
      <c r="AR48" s="21">
        <f t="shared" si="105"/>
        <v>13</v>
      </c>
      <c r="AS48" s="21">
        <f t="shared" si="106"/>
        <v>2</v>
      </c>
      <c r="AT48" s="21">
        <f t="shared" si="123"/>
        <v>65</v>
      </c>
      <c r="AU48" s="21">
        <f t="shared" si="124"/>
        <v>2</v>
      </c>
      <c r="AV48" s="21">
        <f t="shared" si="125"/>
        <v>130</v>
      </c>
      <c r="AW48" s="21">
        <f>VLOOKUP($L48,EQP!$A$2:$S$10,14,0)</f>
        <v>730</v>
      </c>
      <c r="AX48" s="21">
        <f>VLOOKUP($L48,EQP!$A$2:$S$10,15,0)</f>
        <v>720</v>
      </c>
      <c r="AY48" s="21">
        <f>VLOOKUP($L48,EQP!$A$2:$S$10,16,0)</f>
        <v>780</v>
      </c>
      <c r="AZ48" s="21">
        <f t="shared" si="107"/>
        <v>5</v>
      </c>
      <c r="BA48" s="21">
        <f t="shared" si="108"/>
        <v>13</v>
      </c>
      <c r="BB48" s="21">
        <f t="shared" si="109"/>
        <v>2</v>
      </c>
      <c r="BC48" s="21">
        <f t="shared" si="126"/>
        <v>65</v>
      </c>
      <c r="BD48" s="21">
        <f t="shared" si="127"/>
        <v>2</v>
      </c>
      <c r="BE48" s="21">
        <f t="shared" si="128"/>
        <v>130</v>
      </c>
      <c r="BF48" s="21">
        <f>VLOOKUP($L48,EQP!$A$2:$S$10,17,0)</f>
        <v>780</v>
      </c>
      <c r="BG48" s="21">
        <f>VLOOKUP($L48,EQP!$A$2:$S$10,18,0)</f>
        <v>720</v>
      </c>
      <c r="BH48" s="21">
        <f>VLOOKUP($L48,EQP!$A$2:$S$10,19,0)</f>
        <v>730</v>
      </c>
      <c r="BI48" s="21">
        <f t="shared" si="110"/>
        <v>5</v>
      </c>
      <c r="BJ48" s="21">
        <f t="shared" si="111"/>
        <v>13</v>
      </c>
      <c r="BK48" s="21">
        <f t="shared" si="112"/>
        <v>1</v>
      </c>
      <c r="BL48" s="21">
        <f t="shared" si="129"/>
        <v>65</v>
      </c>
      <c r="BM48" s="21">
        <f t="shared" si="130"/>
        <v>1</v>
      </c>
      <c r="BN48" s="21">
        <f t="shared" si="131"/>
        <v>65</v>
      </c>
    </row>
    <row r="49" spans="1:66" x14ac:dyDescent="0.3">
      <c r="A49" s="5" t="str">
        <f t="shared" si="18"/>
        <v>1</v>
      </c>
      <c r="B49" s="6">
        <f t="shared" si="86"/>
        <v>9</v>
      </c>
      <c r="C49" s="7">
        <f t="shared" si="87"/>
        <v>14007842</v>
      </c>
      <c r="D49" s="7" t="str">
        <f t="shared" si="88"/>
        <v>DRIVER SIDE KNEE COVER RHD ASSY</v>
      </c>
      <c r="E49" s="6">
        <f t="shared" si="89"/>
        <v>170</v>
      </c>
      <c r="F49" s="6">
        <f t="shared" si="90"/>
        <v>70</v>
      </c>
      <c r="G49" s="6">
        <f t="shared" si="91"/>
        <v>265</v>
      </c>
      <c r="H49" s="6">
        <f t="shared" si="92"/>
        <v>80</v>
      </c>
      <c r="I49" s="6">
        <f t="shared" si="93"/>
        <v>1</v>
      </c>
      <c r="J49" s="6">
        <f t="shared" si="94"/>
        <v>80</v>
      </c>
      <c r="K49" s="6">
        <f t="shared" si="113"/>
        <v>40</v>
      </c>
      <c r="L49" s="5" t="str">
        <f t="shared" si="132"/>
        <v>FCS (810 x 760 x 860)mm</v>
      </c>
      <c r="M49" s="21">
        <f>VLOOKUP($L49,EQP!$A$2:$S$10,2,0)</f>
        <v>780</v>
      </c>
      <c r="N49" s="21">
        <f>VLOOKUP($L49,EQP!$A$2:$S$10,3,0)</f>
        <v>730</v>
      </c>
      <c r="O49" s="21">
        <f>VLOOKUP($L49,EQP!$A$2:$S$10,4,0)</f>
        <v>720</v>
      </c>
      <c r="P49" s="21">
        <f t="shared" si="95"/>
        <v>4</v>
      </c>
      <c r="Q49" s="21">
        <f t="shared" si="96"/>
        <v>9</v>
      </c>
      <c r="R49" s="21">
        <f t="shared" si="97"/>
        <v>2</v>
      </c>
      <c r="S49" s="21">
        <f t="shared" si="114"/>
        <v>36</v>
      </c>
      <c r="T49" s="21">
        <f t="shared" si="115"/>
        <v>2</v>
      </c>
      <c r="U49" s="21">
        <f t="shared" si="116"/>
        <v>72</v>
      </c>
      <c r="V49" s="21">
        <f>VLOOKUP($L49,EQP!$A$2:$S$10,5,0)</f>
        <v>730</v>
      </c>
      <c r="W49" s="21">
        <f>VLOOKUP($L49,EQP!$A$2:$S$10,6,0)</f>
        <v>780</v>
      </c>
      <c r="X49" s="21">
        <f>VLOOKUP($L49,EQP!$A$2:$S$10,7,0)</f>
        <v>720</v>
      </c>
      <c r="Y49" s="21">
        <f t="shared" si="98"/>
        <v>4</v>
      </c>
      <c r="Z49" s="21">
        <f t="shared" si="99"/>
        <v>10</v>
      </c>
      <c r="AA49" s="21">
        <f t="shared" si="100"/>
        <v>2</v>
      </c>
      <c r="AB49" s="21">
        <f t="shared" si="117"/>
        <v>40</v>
      </c>
      <c r="AC49" s="21">
        <f t="shared" si="118"/>
        <v>2</v>
      </c>
      <c r="AD49" s="21">
        <f t="shared" si="119"/>
        <v>80</v>
      </c>
      <c r="AE49" s="21">
        <f>VLOOKUP($L49,EQP!$A$2:$S$10,8,0)</f>
        <v>720</v>
      </c>
      <c r="AF49" s="21">
        <f>VLOOKUP($L49,EQP!$A$2:$S$10,9,0)</f>
        <v>780</v>
      </c>
      <c r="AG49" s="21">
        <f>VLOOKUP($L49,EQP!$A$2:$S$10,10,0)</f>
        <v>730</v>
      </c>
      <c r="AH49" s="21">
        <f t="shared" si="101"/>
        <v>4</v>
      </c>
      <c r="AI49" s="21">
        <f t="shared" si="102"/>
        <v>10</v>
      </c>
      <c r="AJ49" s="21">
        <f t="shared" si="103"/>
        <v>2</v>
      </c>
      <c r="AK49" s="21">
        <f t="shared" si="120"/>
        <v>40</v>
      </c>
      <c r="AL49" s="21">
        <f t="shared" si="121"/>
        <v>2</v>
      </c>
      <c r="AM49" s="21">
        <f t="shared" si="122"/>
        <v>80</v>
      </c>
      <c r="AN49" s="21">
        <f>VLOOKUP($L49,EQP!$A$2:$S$10,11,0)</f>
        <v>720</v>
      </c>
      <c r="AO49" s="21">
        <f>VLOOKUP($L49,EQP!$A$2:$S$10,12,0)</f>
        <v>730</v>
      </c>
      <c r="AP49" s="21">
        <f>VLOOKUP($L49,EQP!$A$2:$S$10,13,0)</f>
        <v>780</v>
      </c>
      <c r="AQ49" s="21">
        <f t="shared" si="104"/>
        <v>4</v>
      </c>
      <c r="AR49" s="21">
        <f t="shared" si="105"/>
        <v>9</v>
      </c>
      <c r="AS49" s="21">
        <f t="shared" si="106"/>
        <v>2</v>
      </c>
      <c r="AT49" s="21">
        <f t="shared" si="123"/>
        <v>36</v>
      </c>
      <c r="AU49" s="21">
        <f t="shared" si="124"/>
        <v>2</v>
      </c>
      <c r="AV49" s="21">
        <f t="shared" si="125"/>
        <v>72</v>
      </c>
      <c r="AW49" s="21">
        <f>VLOOKUP($L49,EQP!$A$2:$S$10,14,0)</f>
        <v>730</v>
      </c>
      <c r="AX49" s="21">
        <f>VLOOKUP($L49,EQP!$A$2:$S$10,15,0)</f>
        <v>720</v>
      </c>
      <c r="AY49" s="21">
        <f>VLOOKUP($L49,EQP!$A$2:$S$10,16,0)</f>
        <v>780</v>
      </c>
      <c r="AZ49" s="21">
        <f t="shared" si="107"/>
        <v>4</v>
      </c>
      <c r="BA49" s="21">
        <f t="shared" si="108"/>
        <v>9</v>
      </c>
      <c r="BB49" s="21">
        <f t="shared" si="109"/>
        <v>2</v>
      </c>
      <c r="BC49" s="21">
        <f t="shared" si="126"/>
        <v>36</v>
      </c>
      <c r="BD49" s="21">
        <f t="shared" si="127"/>
        <v>2</v>
      </c>
      <c r="BE49" s="21">
        <f t="shared" si="128"/>
        <v>72</v>
      </c>
      <c r="BF49" s="21">
        <f>VLOOKUP($L49,EQP!$A$2:$S$10,17,0)</f>
        <v>780</v>
      </c>
      <c r="BG49" s="21">
        <f>VLOOKUP($L49,EQP!$A$2:$S$10,18,0)</f>
        <v>720</v>
      </c>
      <c r="BH49" s="21">
        <f>VLOOKUP($L49,EQP!$A$2:$S$10,19,0)</f>
        <v>730</v>
      </c>
      <c r="BI49" s="21">
        <f t="shared" si="110"/>
        <v>4</v>
      </c>
      <c r="BJ49" s="21">
        <f t="shared" si="111"/>
        <v>9</v>
      </c>
      <c r="BK49" s="21">
        <f t="shared" si="112"/>
        <v>2</v>
      </c>
      <c r="BL49" s="21">
        <f t="shared" si="129"/>
        <v>36</v>
      </c>
      <c r="BM49" s="21">
        <f t="shared" si="130"/>
        <v>2</v>
      </c>
      <c r="BN49" s="21">
        <f t="shared" si="131"/>
        <v>72</v>
      </c>
    </row>
    <row r="50" spans="1:66" x14ac:dyDescent="0.3">
      <c r="A50" s="5" t="str">
        <f t="shared" si="18"/>
        <v>1</v>
      </c>
      <c r="B50" s="6">
        <f t="shared" si="86"/>
        <v>10</v>
      </c>
      <c r="C50" s="7">
        <f t="shared" si="87"/>
        <v>14007843</v>
      </c>
      <c r="D50" s="7" t="str">
        <f t="shared" si="88"/>
        <v>DIN_BIN</v>
      </c>
      <c r="E50" s="6">
        <f t="shared" si="89"/>
        <v>225</v>
      </c>
      <c r="F50" s="6">
        <f t="shared" si="90"/>
        <v>70</v>
      </c>
      <c r="G50" s="6">
        <f t="shared" si="91"/>
        <v>310</v>
      </c>
      <c r="H50" s="6">
        <f t="shared" si="92"/>
        <v>192</v>
      </c>
      <c r="I50" s="6">
        <f t="shared" si="93"/>
        <v>3</v>
      </c>
      <c r="J50" s="6">
        <f t="shared" si="94"/>
        <v>576</v>
      </c>
      <c r="K50" s="6">
        <f t="shared" si="113"/>
        <v>6</v>
      </c>
      <c r="L50" s="5" t="str">
        <f t="shared" si="132"/>
        <v>FCS (810 x 760 x 860)mm</v>
      </c>
      <c r="M50" s="21">
        <f>VLOOKUP($L50,EQP!$A$2:$S$10,2,0)</f>
        <v>780</v>
      </c>
      <c r="N50" s="21">
        <f>VLOOKUP($L50,EQP!$A$2:$S$10,3,0)</f>
        <v>730</v>
      </c>
      <c r="O50" s="21">
        <f>VLOOKUP($L50,EQP!$A$2:$S$10,4,0)</f>
        <v>720</v>
      </c>
      <c r="P50" s="21">
        <f t="shared" si="95"/>
        <v>3</v>
      </c>
      <c r="Q50" s="21">
        <f t="shared" si="96"/>
        <v>9</v>
      </c>
      <c r="R50" s="21">
        <f t="shared" si="97"/>
        <v>2</v>
      </c>
      <c r="S50" s="21">
        <f t="shared" si="114"/>
        <v>27</v>
      </c>
      <c r="T50" s="21">
        <f t="shared" si="115"/>
        <v>2</v>
      </c>
      <c r="U50" s="21">
        <f t="shared" si="116"/>
        <v>54</v>
      </c>
      <c r="V50" s="21">
        <f>VLOOKUP($L50,EQP!$A$2:$S$10,5,0)</f>
        <v>730</v>
      </c>
      <c r="W50" s="21">
        <f>VLOOKUP($L50,EQP!$A$2:$S$10,6,0)</f>
        <v>780</v>
      </c>
      <c r="X50" s="21">
        <f>VLOOKUP($L50,EQP!$A$2:$S$10,7,0)</f>
        <v>720</v>
      </c>
      <c r="Y50" s="21">
        <f t="shared" si="98"/>
        <v>3</v>
      </c>
      <c r="Z50" s="21">
        <f t="shared" si="99"/>
        <v>10</v>
      </c>
      <c r="AA50" s="21">
        <f t="shared" si="100"/>
        <v>2</v>
      </c>
      <c r="AB50" s="21">
        <f t="shared" si="117"/>
        <v>30</v>
      </c>
      <c r="AC50" s="21">
        <f t="shared" si="118"/>
        <v>2</v>
      </c>
      <c r="AD50" s="21">
        <f t="shared" si="119"/>
        <v>60</v>
      </c>
      <c r="AE50" s="21">
        <f>VLOOKUP($L50,EQP!$A$2:$S$10,8,0)</f>
        <v>720</v>
      </c>
      <c r="AF50" s="21">
        <f>VLOOKUP($L50,EQP!$A$2:$S$10,9,0)</f>
        <v>780</v>
      </c>
      <c r="AG50" s="21">
        <f>VLOOKUP($L50,EQP!$A$2:$S$10,10,0)</f>
        <v>730</v>
      </c>
      <c r="AH50" s="21">
        <f t="shared" si="101"/>
        <v>3</v>
      </c>
      <c r="AI50" s="21">
        <f t="shared" si="102"/>
        <v>10</v>
      </c>
      <c r="AJ50" s="21">
        <f t="shared" si="103"/>
        <v>2</v>
      </c>
      <c r="AK50" s="21">
        <f t="shared" si="120"/>
        <v>30</v>
      </c>
      <c r="AL50" s="21">
        <f t="shared" si="121"/>
        <v>2</v>
      </c>
      <c r="AM50" s="21">
        <f t="shared" si="122"/>
        <v>60</v>
      </c>
      <c r="AN50" s="21">
        <f>VLOOKUP($L50,EQP!$A$2:$S$10,11,0)</f>
        <v>720</v>
      </c>
      <c r="AO50" s="21">
        <f>VLOOKUP($L50,EQP!$A$2:$S$10,12,0)</f>
        <v>730</v>
      </c>
      <c r="AP50" s="21">
        <f>VLOOKUP($L50,EQP!$A$2:$S$10,13,0)</f>
        <v>780</v>
      </c>
      <c r="AQ50" s="21">
        <f t="shared" si="104"/>
        <v>3</v>
      </c>
      <c r="AR50" s="21">
        <f t="shared" si="105"/>
        <v>9</v>
      </c>
      <c r="AS50" s="21">
        <f t="shared" si="106"/>
        <v>2</v>
      </c>
      <c r="AT50" s="21">
        <f t="shared" si="123"/>
        <v>27</v>
      </c>
      <c r="AU50" s="21">
        <f t="shared" si="124"/>
        <v>2</v>
      </c>
      <c r="AV50" s="21">
        <f t="shared" si="125"/>
        <v>54</v>
      </c>
      <c r="AW50" s="21">
        <f>VLOOKUP($L50,EQP!$A$2:$S$10,14,0)</f>
        <v>730</v>
      </c>
      <c r="AX50" s="21">
        <f>VLOOKUP($L50,EQP!$A$2:$S$10,15,0)</f>
        <v>720</v>
      </c>
      <c r="AY50" s="21">
        <f>VLOOKUP($L50,EQP!$A$2:$S$10,16,0)</f>
        <v>780</v>
      </c>
      <c r="AZ50" s="21">
        <f t="shared" si="107"/>
        <v>3</v>
      </c>
      <c r="BA50" s="21">
        <f t="shared" si="108"/>
        <v>9</v>
      </c>
      <c r="BB50" s="21">
        <f t="shared" si="109"/>
        <v>2</v>
      </c>
      <c r="BC50" s="21">
        <f t="shared" si="126"/>
        <v>27</v>
      </c>
      <c r="BD50" s="21">
        <f t="shared" si="127"/>
        <v>2</v>
      </c>
      <c r="BE50" s="21">
        <f t="shared" si="128"/>
        <v>54</v>
      </c>
      <c r="BF50" s="21">
        <f>VLOOKUP($L50,EQP!$A$2:$S$10,17,0)</f>
        <v>780</v>
      </c>
      <c r="BG50" s="21">
        <f>VLOOKUP($L50,EQP!$A$2:$S$10,18,0)</f>
        <v>720</v>
      </c>
      <c r="BH50" s="21">
        <f>VLOOKUP($L50,EQP!$A$2:$S$10,19,0)</f>
        <v>730</v>
      </c>
      <c r="BI50" s="21">
        <f t="shared" si="110"/>
        <v>3</v>
      </c>
      <c r="BJ50" s="21">
        <f t="shared" si="111"/>
        <v>9</v>
      </c>
      <c r="BK50" s="21">
        <f t="shared" si="112"/>
        <v>2</v>
      </c>
      <c r="BL50" s="21">
        <f t="shared" si="129"/>
        <v>27</v>
      </c>
      <c r="BM50" s="21">
        <f t="shared" si="130"/>
        <v>2</v>
      </c>
      <c r="BN50" s="21">
        <f t="shared" si="131"/>
        <v>54</v>
      </c>
    </row>
    <row r="51" spans="1:66" x14ac:dyDescent="0.3">
      <c r="A51" s="5" t="str">
        <f t="shared" si="18"/>
        <v/>
      </c>
      <c r="H51" s="6"/>
      <c r="I51" s="6"/>
      <c r="J51" s="6"/>
      <c r="K51" s="6"/>
    </row>
    <row r="52" spans="1:66" x14ac:dyDescent="0.3">
      <c r="A52" s="5" t="str">
        <f t="shared" si="18"/>
        <v/>
      </c>
    </row>
    <row r="53" spans="1:66" x14ac:dyDescent="0.3">
      <c r="A53" s="5" t="str">
        <f t="shared" si="18"/>
        <v/>
      </c>
    </row>
    <row r="54" spans="1:66" x14ac:dyDescent="0.3">
      <c r="A54" s="5" t="str">
        <f t="shared" si="18"/>
        <v/>
      </c>
    </row>
    <row r="55" spans="1:66" x14ac:dyDescent="0.3">
      <c r="A55" s="5" t="str">
        <f t="shared" si="18"/>
        <v/>
      </c>
    </row>
    <row r="56" spans="1:66" x14ac:dyDescent="0.3">
      <c r="A56" s="5" t="str">
        <f t="shared" si="18"/>
        <v/>
      </c>
    </row>
    <row r="57" spans="1:66" x14ac:dyDescent="0.3">
      <c r="A57" s="5" t="str">
        <f t="shared" si="18"/>
        <v/>
      </c>
    </row>
    <row r="58" spans="1:66" x14ac:dyDescent="0.3">
      <c r="A58" s="5" t="str">
        <f t="shared" si="18"/>
        <v/>
      </c>
    </row>
    <row r="59" spans="1:66" x14ac:dyDescent="0.3">
      <c r="A59" s="5" t="str">
        <f t="shared" si="18"/>
        <v/>
      </c>
    </row>
    <row r="60" spans="1:66" x14ac:dyDescent="0.3">
      <c r="A60" s="5" t="str">
        <f t="shared" si="18"/>
        <v/>
      </c>
    </row>
    <row r="61" spans="1:66" x14ac:dyDescent="0.3">
      <c r="A61" s="5" t="str">
        <f t="shared" si="18"/>
        <v>1</v>
      </c>
      <c r="B61" s="6">
        <f>$B41</f>
        <v>1</v>
      </c>
      <c r="C61" s="7">
        <f>$C41</f>
        <v>14007834</v>
      </c>
      <c r="D61" s="7" t="str">
        <f>$D41</f>
        <v>2.0_M_CENTER BEZEL PREMIUM ASSY</v>
      </c>
      <c r="E61" s="6">
        <f>$E41</f>
        <v>274</v>
      </c>
      <c r="F61" s="6">
        <f>$F41</f>
        <v>76</v>
      </c>
      <c r="G61" s="6">
        <f>$G41</f>
        <v>620</v>
      </c>
      <c r="H61" s="6">
        <f>$H41</f>
        <v>44</v>
      </c>
      <c r="I61" s="6">
        <f>$I41</f>
        <v>1</v>
      </c>
      <c r="J61" s="6">
        <f>$J41</f>
        <v>44</v>
      </c>
      <c r="K61" s="6">
        <f>$K41</f>
        <v>80</v>
      </c>
      <c r="L61" s="5" t="str">
        <f>EQP!A5</f>
        <v>Crate (600 x 400 x 120) mm</v>
      </c>
      <c r="M61" s="21">
        <f>VLOOKUP($L61,EQP!$A$2:$S$10,2,0)</f>
        <v>560</v>
      </c>
      <c r="N61" s="21">
        <f>VLOOKUP($L61,EQP!$A$2:$S$10,3,0)</f>
        <v>360</v>
      </c>
      <c r="O61" s="21">
        <f>VLOOKUP($L61,EQP!$A$2:$S$10,4,0)</f>
        <v>105</v>
      </c>
      <c r="P61" s="21">
        <f t="shared" ref="P61:P70" si="133">ROUNDDOWN($M61/($E61+5),0)</f>
        <v>2</v>
      </c>
      <c r="Q61" s="21">
        <f t="shared" ref="Q61:Q70" si="134">ROUNDDOWN($N61/($F61+5),0)</f>
        <v>4</v>
      </c>
      <c r="R61" s="21">
        <f t="shared" ref="R61:R70" si="135">ROUNDDOWN($O61/($G61+5),0)</f>
        <v>0</v>
      </c>
      <c r="S61" s="21">
        <f>$P61*$Q61</f>
        <v>8</v>
      </c>
      <c r="T61" s="21">
        <f>R61</f>
        <v>0</v>
      </c>
      <c r="U61" s="21">
        <f>S61*T61</f>
        <v>0</v>
      </c>
      <c r="V61" s="21">
        <f>VLOOKUP($L61,EQP!$A$2:$S$10,5,0)</f>
        <v>360</v>
      </c>
      <c r="W61" s="21">
        <f>VLOOKUP($L61,EQP!$A$2:$S$10,6,0)</f>
        <v>560</v>
      </c>
      <c r="X61" s="21">
        <f>VLOOKUP($L61,EQP!$A$2:$S$10,7,0)</f>
        <v>105</v>
      </c>
      <c r="Y61" s="21">
        <f t="shared" ref="Y61:Y70" si="136">ROUNDDOWN($N61/($E61+5),0)</f>
        <v>1</v>
      </c>
      <c r="Z61" s="21">
        <f t="shared" ref="Z61:Z70" si="137">ROUNDDOWN($W61/($F61+5),0)</f>
        <v>6</v>
      </c>
      <c r="AA61" s="21">
        <f t="shared" ref="AA61:AA70" si="138">ROUNDDOWN($X61/($G61+5),0)</f>
        <v>0</v>
      </c>
      <c r="AB61" s="21">
        <f>Y61*Z61</f>
        <v>6</v>
      </c>
      <c r="AC61" s="21">
        <f>AA61</f>
        <v>0</v>
      </c>
      <c r="AD61" s="21">
        <f>AB61*AC61</f>
        <v>0</v>
      </c>
      <c r="AE61" s="21">
        <f>VLOOKUP($L61,EQP!$A$2:$S$10,8,0)</f>
        <v>105</v>
      </c>
      <c r="AF61" s="21">
        <f>VLOOKUP($L61,EQP!$A$2:$S$10,9,0)</f>
        <v>560</v>
      </c>
      <c r="AG61" s="21">
        <f>VLOOKUP($L61,EQP!$A$2:$S$10,10,0)</f>
        <v>360</v>
      </c>
      <c r="AH61" s="21">
        <f t="shared" ref="AH61:AH70" si="139">ROUNDDOWN($AE61/($E61+5),0)</f>
        <v>0</v>
      </c>
      <c r="AI61" s="21">
        <f t="shared" ref="AI61:AI70" si="140">ROUNDDOWN($AF61/($F61+5),0)</f>
        <v>6</v>
      </c>
      <c r="AJ61" s="21">
        <f t="shared" ref="AJ61:AJ70" si="141">ROUNDDOWN($AG61/($G61+5),0)</f>
        <v>0</v>
      </c>
      <c r="AK61" s="21">
        <f>AH61*AI61</f>
        <v>0</v>
      </c>
      <c r="AL61" s="21">
        <f>AJ61</f>
        <v>0</v>
      </c>
      <c r="AM61" s="21">
        <f>AK61*AL61</f>
        <v>0</v>
      </c>
      <c r="AN61" s="21">
        <f>VLOOKUP($L61,EQP!$A$2:$S$10,11,0)</f>
        <v>105</v>
      </c>
      <c r="AO61" s="21">
        <f>VLOOKUP($L61,EQP!$A$2:$S$10,12,0)</f>
        <v>360</v>
      </c>
      <c r="AP61" s="21">
        <f>VLOOKUP($L61,EQP!$A$2:$S$10,13,0)</f>
        <v>560</v>
      </c>
      <c r="AQ61" s="21">
        <f t="shared" ref="AQ61:AQ70" si="142">ROUNDDOWN($AN61/($E61+5),0)</f>
        <v>0</v>
      </c>
      <c r="AR61" s="21">
        <f t="shared" ref="AR61:AR70" si="143">ROUNDDOWN($AO61/($F61+5),0)</f>
        <v>4</v>
      </c>
      <c r="AS61" s="21">
        <f t="shared" ref="AS61:AS70" si="144">ROUNDDOWN($AP61/($G61+5),0)</f>
        <v>0</v>
      </c>
      <c r="AT61" s="21">
        <f>AQ61*AR61</f>
        <v>0</v>
      </c>
      <c r="AU61" s="21">
        <f>AS61</f>
        <v>0</v>
      </c>
      <c r="AV61" s="21">
        <f>AT61*AU61</f>
        <v>0</v>
      </c>
      <c r="AW61" s="21">
        <f>VLOOKUP($L61,EQP!$A$2:$S$10,14,0)</f>
        <v>360</v>
      </c>
      <c r="AX61" s="21">
        <f>VLOOKUP($L61,EQP!$A$2:$S$10,15,0)</f>
        <v>105</v>
      </c>
      <c r="AY61" s="21">
        <f>VLOOKUP($L61,EQP!$A$2:$S$10,16,0)</f>
        <v>560</v>
      </c>
      <c r="AZ61" s="21">
        <f t="shared" ref="AZ61:AZ70" si="145">ROUNDDOWN($AW61/($E61+5),0)</f>
        <v>1</v>
      </c>
      <c r="BA61" s="21">
        <f t="shared" ref="BA61:BA70" si="146">ROUNDDOWN($AX61/($F61+5),0)</f>
        <v>1</v>
      </c>
      <c r="BB61" s="21">
        <f t="shared" ref="BB61:BB70" si="147">ROUNDDOWN($AY61/($G61+5),0)</f>
        <v>0</v>
      </c>
      <c r="BC61" s="21">
        <f>AZ61*BA61</f>
        <v>1</v>
      </c>
      <c r="BD61" s="21">
        <f>BB61</f>
        <v>0</v>
      </c>
      <c r="BE61" s="21">
        <f>BC61*BD61</f>
        <v>0</v>
      </c>
      <c r="BF61" s="21">
        <f>VLOOKUP($L61,EQP!$A$2:$S$10,17,0)</f>
        <v>560</v>
      </c>
      <c r="BG61" s="21">
        <f>VLOOKUP($L61,EQP!$A$2:$S$10,18,0)</f>
        <v>105</v>
      </c>
      <c r="BH61" s="21">
        <f>VLOOKUP($L61,EQP!$A$2:$S$10,19,0)</f>
        <v>360</v>
      </c>
      <c r="BI61" s="21">
        <f t="shared" ref="BI61:BI70" si="148">ROUNDDOWN($BF61/($E61+5),0)</f>
        <v>2</v>
      </c>
      <c r="BJ61" s="21">
        <f t="shared" ref="BJ61:BJ70" si="149">ROUNDDOWN($BG61/($F61+5),0)</f>
        <v>1</v>
      </c>
      <c r="BK61" s="21">
        <f t="shared" ref="BK61:BK70" si="150">ROUNDDOWN($BH61/($G61+5),0)</f>
        <v>0</v>
      </c>
      <c r="BL61" s="21">
        <f>BI61*BJ61</f>
        <v>2</v>
      </c>
      <c r="BM61" s="21">
        <f>BK61</f>
        <v>0</v>
      </c>
      <c r="BN61" s="21">
        <f>BL61*BM61</f>
        <v>0</v>
      </c>
    </row>
    <row r="62" spans="1:66" x14ac:dyDescent="0.3">
      <c r="A62" s="5" t="str">
        <f t="shared" si="18"/>
        <v>1</v>
      </c>
      <c r="B62" s="6">
        <f t="shared" ref="B62:B70" si="151">$B42</f>
        <v>2</v>
      </c>
      <c r="C62" s="7">
        <f t="shared" ref="C62:C70" si="152">$C42</f>
        <v>14007835</v>
      </c>
      <c r="D62" s="7" t="str">
        <f t="shared" ref="D62:D70" si="153">$D42</f>
        <v>SHROUD UPPER</v>
      </c>
      <c r="E62" s="6">
        <f t="shared" ref="E62:E70" si="154">$E42</f>
        <v>225</v>
      </c>
      <c r="F62" s="6">
        <f t="shared" ref="F62:F70" si="155">$F42</f>
        <v>125</v>
      </c>
      <c r="G62" s="6">
        <f t="shared" ref="G62:G70" si="156">$G42</f>
        <v>190</v>
      </c>
      <c r="H62" s="6">
        <f t="shared" ref="H62:H70" si="157">$H42</f>
        <v>96</v>
      </c>
      <c r="I62" s="6">
        <f t="shared" ref="I62:I70" si="158">$I42</f>
        <v>2</v>
      </c>
      <c r="J62" s="6">
        <f t="shared" ref="J62:J70" si="159">$J42</f>
        <v>192</v>
      </c>
      <c r="K62" s="6">
        <f t="shared" ref="K62:K70" si="160">$K42</f>
        <v>18</v>
      </c>
      <c r="L62" s="5" t="str">
        <f>L61</f>
        <v>Crate (600 x 400 x 120) mm</v>
      </c>
      <c r="M62" s="21">
        <f>VLOOKUP($L62,EQP!$A$2:$S$10,2,0)</f>
        <v>560</v>
      </c>
      <c r="N62" s="21">
        <f>VLOOKUP($L62,EQP!$A$2:$S$10,3,0)</f>
        <v>360</v>
      </c>
      <c r="O62" s="21">
        <f>VLOOKUP($L62,EQP!$A$2:$S$10,4,0)</f>
        <v>105</v>
      </c>
      <c r="P62" s="21">
        <f t="shared" si="133"/>
        <v>2</v>
      </c>
      <c r="Q62" s="21">
        <f t="shared" si="134"/>
        <v>2</v>
      </c>
      <c r="R62" s="21">
        <f t="shared" si="135"/>
        <v>0</v>
      </c>
      <c r="S62" s="21">
        <f t="shared" ref="S62:S70" si="161">$P62*$Q62</f>
        <v>4</v>
      </c>
      <c r="T62" s="21">
        <f t="shared" ref="T62:T70" si="162">R62</f>
        <v>0</v>
      </c>
      <c r="U62" s="21">
        <f t="shared" ref="U62:U70" si="163">S62*T62</f>
        <v>0</v>
      </c>
      <c r="V62" s="21">
        <f>VLOOKUP($L62,EQP!$A$2:$S$10,5,0)</f>
        <v>360</v>
      </c>
      <c r="W62" s="21">
        <f>VLOOKUP($L62,EQP!$A$2:$S$10,6,0)</f>
        <v>560</v>
      </c>
      <c r="X62" s="21">
        <f>VLOOKUP($L62,EQP!$A$2:$S$10,7,0)</f>
        <v>105</v>
      </c>
      <c r="Y62" s="21">
        <f t="shared" si="136"/>
        <v>1</v>
      </c>
      <c r="Z62" s="21">
        <f t="shared" si="137"/>
        <v>4</v>
      </c>
      <c r="AA62" s="21">
        <f t="shared" si="138"/>
        <v>0</v>
      </c>
      <c r="AB62" s="21">
        <f t="shared" ref="AB62:AB70" si="164">Y62*Z62</f>
        <v>4</v>
      </c>
      <c r="AC62" s="21">
        <f t="shared" ref="AC62:AC70" si="165">AA62</f>
        <v>0</v>
      </c>
      <c r="AD62" s="21">
        <f t="shared" ref="AD62:AD70" si="166">AB62*AC62</f>
        <v>0</v>
      </c>
      <c r="AE62" s="21">
        <f>VLOOKUP($L62,EQP!$A$2:$S$10,8,0)</f>
        <v>105</v>
      </c>
      <c r="AF62" s="21">
        <f>VLOOKUP($L62,EQP!$A$2:$S$10,9,0)</f>
        <v>560</v>
      </c>
      <c r="AG62" s="21">
        <f>VLOOKUP($L62,EQP!$A$2:$S$10,10,0)</f>
        <v>360</v>
      </c>
      <c r="AH62" s="21">
        <f t="shared" si="139"/>
        <v>0</v>
      </c>
      <c r="AI62" s="21">
        <f t="shared" si="140"/>
        <v>4</v>
      </c>
      <c r="AJ62" s="21">
        <f t="shared" si="141"/>
        <v>1</v>
      </c>
      <c r="AK62" s="21">
        <f t="shared" ref="AK62:AK70" si="167">AH62*AI62</f>
        <v>0</v>
      </c>
      <c r="AL62" s="21">
        <f t="shared" ref="AL62:AL70" si="168">AJ62</f>
        <v>1</v>
      </c>
      <c r="AM62" s="21">
        <f t="shared" ref="AM62:AM70" si="169">AK62*AL62</f>
        <v>0</v>
      </c>
      <c r="AN62" s="21">
        <f>VLOOKUP($L62,EQP!$A$2:$S$10,11,0)</f>
        <v>105</v>
      </c>
      <c r="AO62" s="21">
        <f>VLOOKUP($L62,EQP!$A$2:$S$10,12,0)</f>
        <v>360</v>
      </c>
      <c r="AP62" s="21">
        <f>VLOOKUP($L62,EQP!$A$2:$S$10,13,0)</f>
        <v>560</v>
      </c>
      <c r="AQ62" s="21">
        <f t="shared" si="142"/>
        <v>0</v>
      </c>
      <c r="AR62" s="21">
        <f t="shared" si="143"/>
        <v>2</v>
      </c>
      <c r="AS62" s="21">
        <f t="shared" si="144"/>
        <v>2</v>
      </c>
      <c r="AT62" s="21">
        <f t="shared" ref="AT62:AT70" si="170">AQ62*AR62</f>
        <v>0</v>
      </c>
      <c r="AU62" s="21">
        <f t="shared" ref="AU62:AU70" si="171">AS62</f>
        <v>2</v>
      </c>
      <c r="AV62" s="21">
        <f t="shared" ref="AV62:AV70" si="172">AT62*AU62</f>
        <v>0</v>
      </c>
      <c r="AW62" s="21">
        <f>VLOOKUP($L62,EQP!$A$2:$S$10,14,0)</f>
        <v>360</v>
      </c>
      <c r="AX62" s="21">
        <f>VLOOKUP($L62,EQP!$A$2:$S$10,15,0)</f>
        <v>105</v>
      </c>
      <c r="AY62" s="21">
        <f>VLOOKUP($L62,EQP!$A$2:$S$10,16,0)</f>
        <v>560</v>
      </c>
      <c r="AZ62" s="21">
        <f t="shared" si="145"/>
        <v>1</v>
      </c>
      <c r="BA62" s="21">
        <f t="shared" si="146"/>
        <v>0</v>
      </c>
      <c r="BB62" s="21">
        <f t="shared" si="147"/>
        <v>2</v>
      </c>
      <c r="BC62" s="21">
        <f t="shared" ref="BC62:BC70" si="173">AZ62*BA62</f>
        <v>0</v>
      </c>
      <c r="BD62" s="21">
        <f t="shared" ref="BD62:BD70" si="174">BB62</f>
        <v>2</v>
      </c>
      <c r="BE62" s="21">
        <f t="shared" ref="BE62:BE70" si="175">BC62*BD62</f>
        <v>0</v>
      </c>
      <c r="BF62" s="21">
        <f>VLOOKUP($L62,EQP!$A$2:$S$10,17,0)</f>
        <v>560</v>
      </c>
      <c r="BG62" s="21">
        <f>VLOOKUP($L62,EQP!$A$2:$S$10,18,0)</f>
        <v>105</v>
      </c>
      <c r="BH62" s="21">
        <f>VLOOKUP($L62,EQP!$A$2:$S$10,19,0)</f>
        <v>360</v>
      </c>
      <c r="BI62" s="21">
        <f t="shared" si="148"/>
        <v>2</v>
      </c>
      <c r="BJ62" s="21">
        <f t="shared" si="149"/>
        <v>0</v>
      </c>
      <c r="BK62" s="21">
        <f t="shared" si="150"/>
        <v>1</v>
      </c>
      <c r="BL62" s="21">
        <f t="shared" ref="BL62:BL70" si="176">BI62*BJ62</f>
        <v>0</v>
      </c>
      <c r="BM62" s="21">
        <f t="shared" ref="BM62:BM70" si="177">BK62</f>
        <v>1</v>
      </c>
      <c r="BN62" s="21">
        <f t="shared" ref="BN62:BN70" si="178">BL62*BM62</f>
        <v>0</v>
      </c>
    </row>
    <row r="63" spans="1:66" x14ac:dyDescent="0.3">
      <c r="A63" s="5" t="str">
        <f t="shared" si="18"/>
        <v>1</v>
      </c>
      <c r="B63" s="6">
        <f t="shared" si="151"/>
        <v>3</v>
      </c>
      <c r="C63" s="7">
        <f t="shared" si="152"/>
        <v>14007836</v>
      </c>
      <c r="D63" s="7" t="str">
        <f t="shared" si="153"/>
        <v>SHROUD LOWER</v>
      </c>
      <c r="E63" s="6">
        <f t="shared" si="154"/>
        <v>435</v>
      </c>
      <c r="F63" s="6">
        <f t="shared" si="155"/>
        <v>100</v>
      </c>
      <c r="G63" s="6">
        <f t="shared" si="156"/>
        <v>210</v>
      </c>
      <c r="H63" s="6">
        <f t="shared" si="157"/>
        <v>48</v>
      </c>
      <c r="I63" s="6">
        <f t="shared" si="158"/>
        <v>1</v>
      </c>
      <c r="J63" s="6">
        <f t="shared" si="159"/>
        <v>48</v>
      </c>
      <c r="K63" s="6">
        <f t="shared" si="160"/>
        <v>75</v>
      </c>
      <c r="L63" s="5" t="str">
        <f t="shared" ref="L63:L70" si="179">L62</f>
        <v>Crate (600 x 400 x 120) mm</v>
      </c>
      <c r="M63" s="21">
        <f>VLOOKUP($L63,EQP!$A$2:$S$10,2,0)</f>
        <v>560</v>
      </c>
      <c r="N63" s="21">
        <f>VLOOKUP($L63,EQP!$A$2:$S$10,3,0)</f>
        <v>360</v>
      </c>
      <c r="O63" s="21">
        <f>VLOOKUP($L63,EQP!$A$2:$S$10,4,0)</f>
        <v>105</v>
      </c>
      <c r="P63" s="21">
        <f t="shared" si="133"/>
        <v>1</v>
      </c>
      <c r="Q63" s="21">
        <f t="shared" si="134"/>
        <v>3</v>
      </c>
      <c r="R63" s="21">
        <f t="shared" si="135"/>
        <v>0</v>
      </c>
      <c r="S63" s="21">
        <f t="shared" si="161"/>
        <v>3</v>
      </c>
      <c r="T63" s="21">
        <f t="shared" si="162"/>
        <v>0</v>
      </c>
      <c r="U63" s="21">
        <f t="shared" si="163"/>
        <v>0</v>
      </c>
      <c r="V63" s="21">
        <f>VLOOKUP($L63,EQP!$A$2:$S$10,5,0)</f>
        <v>360</v>
      </c>
      <c r="W63" s="21">
        <f>VLOOKUP($L63,EQP!$A$2:$S$10,6,0)</f>
        <v>560</v>
      </c>
      <c r="X63" s="21">
        <f>VLOOKUP($L63,EQP!$A$2:$S$10,7,0)</f>
        <v>105</v>
      </c>
      <c r="Y63" s="21">
        <f t="shared" si="136"/>
        <v>0</v>
      </c>
      <c r="Z63" s="21">
        <f t="shared" si="137"/>
        <v>5</v>
      </c>
      <c r="AA63" s="21">
        <f t="shared" si="138"/>
        <v>0</v>
      </c>
      <c r="AB63" s="21">
        <f t="shared" si="164"/>
        <v>0</v>
      </c>
      <c r="AC63" s="21">
        <f t="shared" si="165"/>
        <v>0</v>
      </c>
      <c r="AD63" s="21">
        <f t="shared" si="166"/>
        <v>0</v>
      </c>
      <c r="AE63" s="21">
        <f>VLOOKUP($L63,EQP!$A$2:$S$10,8,0)</f>
        <v>105</v>
      </c>
      <c r="AF63" s="21">
        <f>VLOOKUP($L63,EQP!$A$2:$S$10,9,0)</f>
        <v>560</v>
      </c>
      <c r="AG63" s="21">
        <f>VLOOKUP($L63,EQP!$A$2:$S$10,10,0)</f>
        <v>360</v>
      </c>
      <c r="AH63" s="21">
        <f t="shared" si="139"/>
        <v>0</v>
      </c>
      <c r="AI63" s="21">
        <f t="shared" si="140"/>
        <v>5</v>
      </c>
      <c r="AJ63" s="21">
        <f t="shared" si="141"/>
        <v>1</v>
      </c>
      <c r="AK63" s="21">
        <f t="shared" si="167"/>
        <v>0</v>
      </c>
      <c r="AL63" s="21">
        <f t="shared" si="168"/>
        <v>1</v>
      </c>
      <c r="AM63" s="21">
        <f t="shared" si="169"/>
        <v>0</v>
      </c>
      <c r="AN63" s="21">
        <f>VLOOKUP($L63,EQP!$A$2:$S$10,11,0)</f>
        <v>105</v>
      </c>
      <c r="AO63" s="21">
        <f>VLOOKUP($L63,EQP!$A$2:$S$10,12,0)</f>
        <v>360</v>
      </c>
      <c r="AP63" s="21">
        <f>VLOOKUP($L63,EQP!$A$2:$S$10,13,0)</f>
        <v>560</v>
      </c>
      <c r="AQ63" s="21">
        <f t="shared" si="142"/>
        <v>0</v>
      </c>
      <c r="AR63" s="21">
        <f t="shared" si="143"/>
        <v>3</v>
      </c>
      <c r="AS63" s="21">
        <f t="shared" si="144"/>
        <v>2</v>
      </c>
      <c r="AT63" s="21">
        <f t="shared" si="170"/>
        <v>0</v>
      </c>
      <c r="AU63" s="21">
        <f t="shared" si="171"/>
        <v>2</v>
      </c>
      <c r="AV63" s="21">
        <f t="shared" si="172"/>
        <v>0</v>
      </c>
      <c r="AW63" s="21">
        <f>VLOOKUP($L63,EQP!$A$2:$S$10,14,0)</f>
        <v>360</v>
      </c>
      <c r="AX63" s="21">
        <f>VLOOKUP($L63,EQP!$A$2:$S$10,15,0)</f>
        <v>105</v>
      </c>
      <c r="AY63" s="21">
        <f>VLOOKUP($L63,EQP!$A$2:$S$10,16,0)</f>
        <v>560</v>
      </c>
      <c r="AZ63" s="21">
        <f t="shared" si="145"/>
        <v>0</v>
      </c>
      <c r="BA63" s="21">
        <f t="shared" si="146"/>
        <v>1</v>
      </c>
      <c r="BB63" s="21">
        <f t="shared" si="147"/>
        <v>2</v>
      </c>
      <c r="BC63" s="21">
        <f t="shared" si="173"/>
        <v>0</v>
      </c>
      <c r="BD63" s="21">
        <f t="shared" si="174"/>
        <v>2</v>
      </c>
      <c r="BE63" s="21">
        <f t="shared" si="175"/>
        <v>0</v>
      </c>
      <c r="BF63" s="21">
        <f>VLOOKUP($L63,EQP!$A$2:$S$10,17,0)</f>
        <v>560</v>
      </c>
      <c r="BG63" s="21">
        <f>VLOOKUP($L63,EQP!$A$2:$S$10,18,0)</f>
        <v>105</v>
      </c>
      <c r="BH63" s="21">
        <f>VLOOKUP($L63,EQP!$A$2:$S$10,19,0)</f>
        <v>360</v>
      </c>
      <c r="BI63" s="21">
        <f t="shared" si="148"/>
        <v>1</v>
      </c>
      <c r="BJ63" s="21">
        <f t="shared" si="149"/>
        <v>1</v>
      </c>
      <c r="BK63" s="21">
        <f t="shared" si="150"/>
        <v>1</v>
      </c>
      <c r="BL63" s="21">
        <f t="shared" si="176"/>
        <v>1</v>
      </c>
      <c r="BM63" s="21">
        <f t="shared" si="177"/>
        <v>1</v>
      </c>
      <c r="BN63" s="21">
        <f t="shared" si="178"/>
        <v>1</v>
      </c>
    </row>
    <row r="64" spans="1:66" x14ac:dyDescent="0.3">
      <c r="A64" s="5" t="str">
        <f t="shared" si="18"/>
        <v>1</v>
      </c>
      <c r="B64" s="6">
        <f t="shared" si="151"/>
        <v>4</v>
      </c>
      <c r="C64" s="7">
        <f t="shared" si="152"/>
        <v>14007837</v>
      </c>
      <c r="D64" s="7" t="str">
        <f t="shared" si="153"/>
        <v>CLUSTER BEZEL LOWER ASSY</v>
      </c>
      <c r="E64" s="6">
        <f t="shared" si="154"/>
        <v>365</v>
      </c>
      <c r="F64" s="6">
        <f t="shared" si="155"/>
        <v>63</v>
      </c>
      <c r="G64" s="6">
        <f t="shared" si="156"/>
        <v>225</v>
      </c>
      <c r="H64" s="6">
        <f t="shared" si="157"/>
        <v>96</v>
      </c>
      <c r="I64" s="6">
        <f t="shared" si="158"/>
        <v>1</v>
      </c>
      <c r="J64" s="6">
        <f t="shared" si="159"/>
        <v>96</v>
      </c>
      <c r="K64" s="6">
        <f t="shared" si="160"/>
        <v>38</v>
      </c>
      <c r="L64" s="5" t="str">
        <f t="shared" si="179"/>
        <v>Crate (600 x 400 x 120) mm</v>
      </c>
      <c r="M64" s="21">
        <f>VLOOKUP($L64,EQP!$A$2:$S$10,2,0)</f>
        <v>560</v>
      </c>
      <c r="N64" s="21">
        <f>VLOOKUP($L64,EQP!$A$2:$S$10,3,0)</f>
        <v>360</v>
      </c>
      <c r="O64" s="21">
        <f>VLOOKUP($L64,EQP!$A$2:$S$10,4,0)</f>
        <v>105</v>
      </c>
      <c r="P64" s="21">
        <f t="shared" si="133"/>
        <v>1</v>
      </c>
      <c r="Q64" s="21">
        <f t="shared" si="134"/>
        <v>5</v>
      </c>
      <c r="R64" s="21">
        <f t="shared" si="135"/>
        <v>0</v>
      </c>
      <c r="S64" s="21">
        <f t="shared" si="161"/>
        <v>5</v>
      </c>
      <c r="T64" s="21">
        <f t="shared" si="162"/>
        <v>0</v>
      </c>
      <c r="U64" s="21">
        <f t="shared" si="163"/>
        <v>0</v>
      </c>
      <c r="V64" s="21">
        <f>VLOOKUP($L64,EQP!$A$2:$S$10,5,0)</f>
        <v>360</v>
      </c>
      <c r="W64" s="21">
        <f>VLOOKUP($L64,EQP!$A$2:$S$10,6,0)</f>
        <v>560</v>
      </c>
      <c r="X64" s="21">
        <f>VLOOKUP($L64,EQP!$A$2:$S$10,7,0)</f>
        <v>105</v>
      </c>
      <c r="Y64" s="21">
        <f t="shared" si="136"/>
        <v>0</v>
      </c>
      <c r="Z64" s="21">
        <f t="shared" si="137"/>
        <v>8</v>
      </c>
      <c r="AA64" s="21">
        <f t="shared" si="138"/>
        <v>0</v>
      </c>
      <c r="AB64" s="21">
        <f t="shared" si="164"/>
        <v>0</v>
      </c>
      <c r="AC64" s="21">
        <f t="shared" si="165"/>
        <v>0</v>
      </c>
      <c r="AD64" s="21">
        <f t="shared" si="166"/>
        <v>0</v>
      </c>
      <c r="AE64" s="21">
        <f>VLOOKUP($L64,EQP!$A$2:$S$10,8,0)</f>
        <v>105</v>
      </c>
      <c r="AF64" s="21">
        <f>VLOOKUP($L64,EQP!$A$2:$S$10,9,0)</f>
        <v>560</v>
      </c>
      <c r="AG64" s="21">
        <f>VLOOKUP($L64,EQP!$A$2:$S$10,10,0)</f>
        <v>360</v>
      </c>
      <c r="AH64" s="21">
        <f t="shared" si="139"/>
        <v>0</v>
      </c>
      <c r="AI64" s="21">
        <f t="shared" si="140"/>
        <v>8</v>
      </c>
      <c r="AJ64" s="21">
        <f t="shared" si="141"/>
        <v>1</v>
      </c>
      <c r="AK64" s="21">
        <f t="shared" si="167"/>
        <v>0</v>
      </c>
      <c r="AL64" s="21">
        <f t="shared" si="168"/>
        <v>1</v>
      </c>
      <c r="AM64" s="21">
        <f t="shared" si="169"/>
        <v>0</v>
      </c>
      <c r="AN64" s="21">
        <f>VLOOKUP($L64,EQP!$A$2:$S$10,11,0)</f>
        <v>105</v>
      </c>
      <c r="AO64" s="21">
        <f>VLOOKUP($L64,EQP!$A$2:$S$10,12,0)</f>
        <v>360</v>
      </c>
      <c r="AP64" s="21">
        <f>VLOOKUP($L64,EQP!$A$2:$S$10,13,0)</f>
        <v>560</v>
      </c>
      <c r="AQ64" s="21">
        <f t="shared" si="142"/>
        <v>0</v>
      </c>
      <c r="AR64" s="21">
        <f t="shared" si="143"/>
        <v>5</v>
      </c>
      <c r="AS64" s="21">
        <f t="shared" si="144"/>
        <v>2</v>
      </c>
      <c r="AT64" s="21">
        <f t="shared" si="170"/>
        <v>0</v>
      </c>
      <c r="AU64" s="21">
        <f t="shared" si="171"/>
        <v>2</v>
      </c>
      <c r="AV64" s="21">
        <f t="shared" si="172"/>
        <v>0</v>
      </c>
      <c r="AW64" s="21">
        <f>VLOOKUP($L64,EQP!$A$2:$S$10,14,0)</f>
        <v>360</v>
      </c>
      <c r="AX64" s="21">
        <f>VLOOKUP($L64,EQP!$A$2:$S$10,15,0)</f>
        <v>105</v>
      </c>
      <c r="AY64" s="21">
        <f>VLOOKUP($L64,EQP!$A$2:$S$10,16,0)</f>
        <v>560</v>
      </c>
      <c r="AZ64" s="21">
        <f t="shared" si="145"/>
        <v>0</v>
      </c>
      <c r="BA64" s="21">
        <f t="shared" si="146"/>
        <v>1</v>
      </c>
      <c r="BB64" s="21">
        <f t="shared" si="147"/>
        <v>2</v>
      </c>
      <c r="BC64" s="21">
        <f t="shared" si="173"/>
        <v>0</v>
      </c>
      <c r="BD64" s="21">
        <f t="shared" si="174"/>
        <v>2</v>
      </c>
      <c r="BE64" s="21">
        <f t="shared" si="175"/>
        <v>0</v>
      </c>
      <c r="BF64" s="21">
        <f>VLOOKUP($L64,EQP!$A$2:$S$10,17,0)</f>
        <v>560</v>
      </c>
      <c r="BG64" s="21">
        <f>VLOOKUP($L64,EQP!$A$2:$S$10,18,0)</f>
        <v>105</v>
      </c>
      <c r="BH64" s="21">
        <f>VLOOKUP($L64,EQP!$A$2:$S$10,19,0)</f>
        <v>360</v>
      </c>
      <c r="BI64" s="21">
        <f t="shared" si="148"/>
        <v>1</v>
      </c>
      <c r="BJ64" s="21">
        <f t="shared" si="149"/>
        <v>1</v>
      </c>
      <c r="BK64" s="21">
        <f t="shared" si="150"/>
        <v>1</v>
      </c>
      <c r="BL64" s="21">
        <f t="shared" si="176"/>
        <v>1</v>
      </c>
      <c r="BM64" s="21">
        <f t="shared" si="177"/>
        <v>1</v>
      </c>
      <c r="BN64" s="21">
        <f t="shared" si="178"/>
        <v>1</v>
      </c>
    </row>
    <row r="65" spans="1:66" x14ac:dyDescent="0.3">
      <c r="A65" s="5" t="str">
        <f t="shared" si="18"/>
        <v>1</v>
      </c>
      <c r="B65" s="6">
        <f t="shared" si="151"/>
        <v>5</v>
      </c>
      <c r="C65" s="7">
        <f t="shared" si="152"/>
        <v>14007838</v>
      </c>
      <c r="D65" s="7" t="str">
        <f t="shared" si="153"/>
        <v>DRIVER SIDE BOOSTER COVER ASSY</v>
      </c>
      <c r="E65" s="6">
        <f t="shared" si="154"/>
        <v>410</v>
      </c>
      <c r="F65" s="6">
        <f t="shared" si="155"/>
        <v>280</v>
      </c>
      <c r="G65" s="6">
        <f t="shared" si="156"/>
        <v>160</v>
      </c>
      <c r="H65" s="6">
        <f t="shared" si="157"/>
        <v>16</v>
      </c>
      <c r="I65" s="6">
        <f t="shared" si="158"/>
        <v>1</v>
      </c>
      <c r="J65" s="6">
        <f t="shared" si="159"/>
        <v>16</v>
      </c>
      <c r="K65" s="6">
        <f t="shared" si="160"/>
        <v>202</v>
      </c>
      <c r="L65" s="5" t="str">
        <f t="shared" si="179"/>
        <v>Crate (600 x 400 x 120) mm</v>
      </c>
      <c r="M65" s="21">
        <f>VLOOKUP($L65,EQP!$A$2:$S$10,2,0)</f>
        <v>560</v>
      </c>
      <c r="N65" s="21">
        <f>VLOOKUP($L65,EQP!$A$2:$S$10,3,0)</f>
        <v>360</v>
      </c>
      <c r="O65" s="21">
        <f>VLOOKUP($L65,EQP!$A$2:$S$10,4,0)</f>
        <v>105</v>
      </c>
      <c r="P65" s="21">
        <f t="shared" si="133"/>
        <v>1</v>
      </c>
      <c r="Q65" s="21">
        <f t="shared" si="134"/>
        <v>1</v>
      </c>
      <c r="R65" s="21">
        <f t="shared" si="135"/>
        <v>0</v>
      </c>
      <c r="S65" s="21">
        <f t="shared" si="161"/>
        <v>1</v>
      </c>
      <c r="T65" s="21">
        <f t="shared" si="162"/>
        <v>0</v>
      </c>
      <c r="U65" s="21">
        <f t="shared" si="163"/>
        <v>0</v>
      </c>
      <c r="V65" s="21">
        <f>VLOOKUP($L65,EQP!$A$2:$S$10,5,0)</f>
        <v>360</v>
      </c>
      <c r="W65" s="21">
        <f>VLOOKUP($L65,EQP!$A$2:$S$10,6,0)</f>
        <v>560</v>
      </c>
      <c r="X65" s="21">
        <f>VLOOKUP($L65,EQP!$A$2:$S$10,7,0)</f>
        <v>105</v>
      </c>
      <c r="Y65" s="21">
        <f t="shared" si="136"/>
        <v>0</v>
      </c>
      <c r="Z65" s="21">
        <f t="shared" si="137"/>
        <v>1</v>
      </c>
      <c r="AA65" s="21">
        <f t="shared" si="138"/>
        <v>0</v>
      </c>
      <c r="AB65" s="21">
        <f t="shared" si="164"/>
        <v>0</v>
      </c>
      <c r="AC65" s="21">
        <f t="shared" si="165"/>
        <v>0</v>
      </c>
      <c r="AD65" s="21">
        <f t="shared" si="166"/>
        <v>0</v>
      </c>
      <c r="AE65" s="21">
        <f>VLOOKUP($L65,EQP!$A$2:$S$10,8,0)</f>
        <v>105</v>
      </c>
      <c r="AF65" s="21">
        <f>VLOOKUP($L65,EQP!$A$2:$S$10,9,0)</f>
        <v>560</v>
      </c>
      <c r="AG65" s="21">
        <f>VLOOKUP($L65,EQP!$A$2:$S$10,10,0)</f>
        <v>360</v>
      </c>
      <c r="AH65" s="21">
        <f t="shared" si="139"/>
        <v>0</v>
      </c>
      <c r="AI65" s="21">
        <f t="shared" si="140"/>
        <v>1</v>
      </c>
      <c r="AJ65" s="21">
        <f t="shared" si="141"/>
        <v>2</v>
      </c>
      <c r="AK65" s="21">
        <f t="shared" si="167"/>
        <v>0</v>
      </c>
      <c r="AL65" s="21">
        <f t="shared" si="168"/>
        <v>2</v>
      </c>
      <c r="AM65" s="21">
        <f t="shared" si="169"/>
        <v>0</v>
      </c>
      <c r="AN65" s="21">
        <f>VLOOKUP($L65,EQP!$A$2:$S$10,11,0)</f>
        <v>105</v>
      </c>
      <c r="AO65" s="21">
        <f>VLOOKUP($L65,EQP!$A$2:$S$10,12,0)</f>
        <v>360</v>
      </c>
      <c r="AP65" s="21">
        <f>VLOOKUP($L65,EQP!$A$2:$S$10,13,0)</f>
        <v>560</v>
      </c>
      <c r="AQ65" s="21">
        <f t="shared" si="142"/>
        <v>0</v>
      </c>
      <c r="AR65" s="21">
        <f t="shared" si="143"/>
        <v>1</v>
      </c>
      <c r="AS65" s="21">
        <f t="shared" si="144"/>
        <v>3</v>
      </c>
      <c r="AT65" s="21">
        <f t="shared" si="170"/>
        <v>0</v>
      </c>
      <c r="AU65" s="21">
        <f t="shared" si="171"/>
        <v>3</v>
      </c>
      <c r="AV65" s="21">
        <f t="shared" si="172"/>
        <v>0</v>
      </c>
      <c r="AW65" s="21">
        <f>VLOOKUP($L65,EQP!$A$2:$S$10,14,0)</f>
        <v>360</v>
      </c>
      <c r="AX65" s="21">
        <f>VLOOKUP($L65,EQP!$A$2:$S$10,15,0)</f>
        <v>105</v>
      </c>
      <c r="AY65" s="21">
        <f>VLOOKUP($L65,EQP!$A$2:$S$10,16,0)</f>
        <v>560</v>
      </c>
      <c r="AZ65" s="21">
        <f t="shared" si="145"/>
        <v>0</v>
      </c>
      <c r="BA65" s="21">
        <f t="shared" si="146"/>
        <v>0</v>
      </c>
      <c r="BB65" s="21">
        <f t="shared" si="147"/>
        <v>3</v>
      </c>
      <c r="BC65" s="21">
        <f t="shared" si="173"/>
        <v>0</v>
      </c>
      <c r="BD65" s="21">
        <f t="shared" si="174"/>
        <v>3</v>
      </c>
      <c r="BE65" s="21">
        <f t="shared" si="175"/>
        <v>0</v>
      </c>
      <c r="BF65" s="21">
        <f>VLOOKUP($L65,EQP!$A$2:$S$10,17,0)</f>
        <v>560</v>
      </c>
      <c r="BG65" s="21">
        <f>VLOOKUP($L65,EQP!$A$2:$S$10,18,0)</f>
        <v>105</v>
      </c>
      <c r="BH65" s="21">
        <f>VLOOKUP($L65,EQP!$A$2:$S$10,19,0)</f>
        <v>360</v>
      </c>
      <c r="BI65" s="21">
        <f t="shared" si="148"/>
        <v>1</v>
      </c>
      <c r="BJ65" s="21">
        <f t="shared" si="149"/>
        <v>0</v>
      </c>
      <c r="BK65" s="21">
        <f t="shared" si="150"/>
        <v>2</v>
      </c>
      <c r="BL65" s="21">
        <f t="shared" si="176"/>
        <v>0</v>
      </c>
      <c r="BM65" s="21">
        <f t="shared" si="177"/>
        <v>2</v>
      </c>
      <c r="BN65" s="21">
        <f t="shared" si="178"/>
        <v>0</v>
      </c>
    </row>
    <row r="66" spans="1:66" x14ac:dyDescent="0.3">
      <c r="A66" s="5" t="str">
        <f t="shared" si="18"/>
        <v>1</v>
      </c>
      <c r="B66" s="6">
        <f t="shared" si="151"/>
        <v>6</v>
      </c>
      <c r="C66" s="7">
        <f t="shared" si="152"/>
        <v>14007839</v>
      </c>
      <c r="D66" s="7" t="str">
        <f t="shared" si="153"/>
        <v>PASSENGER SIDE KNEE COVER RHD ASSY</v>
      </c>
      <c r="E66" s="6">
        <f t="shared" si="154"/>
        <v>380</v>
      </c>
      <c r="F66" s="6">
        <f t="shared" si="155"/>
        <v>110</v>
      </c>
      <c r="G66" s="6">
        <f t="shared" si="156"/>
        <v>295</v>
      </c>
      <c r="H66" s="6">
        <f t="shared" si="157"/>
        <v>64</v>
      </c>
      <c r="I66" s="6">
        <f t="shared" si="158"/>
        <v>1</v>
      </c>
      <c r="J66" s="6">
        <f t="shared" si="159"/>
        <v>64</v>
      </c>
      <c r="K66" s="6">
        <f t="shared" si="160"/>
        <v>50</v>
      </c>
      <c r="L66" s="5" t="str">
        <f t="shared" si="179"/>
        <v>Crate (600 x 400 x 120) mm</v>
      </c>
      <c r="M66" s="21">
        <f>VLOOKUP($L66,EQP!$A$2:$S$10,2,0)</f>
        <v>560</v>
      </c>
      <c r="N66" s="21">
        <f>VLOOKUP($L66,EQP!$A$2:$S$10,3,0)</f>
        <v>360</v>
      </c>
      <c r="O66" s="21">
        <f>VLOOKUP($L66,EQP!$A$2:$S$10,4,0)</f>
        <v>105</v>
      </c>
      <c r="P66" s="21">
        <f t="shared" si="133"/>
        <v>1</v>
      </c>
      <c r="Q66" s="21">
        <f t="shared" si="134"/>
        <v>3</v>
      </c>
      <c r="R66" s="21">
        <f t="shared" si="135"/>
        <v>0</v>
      </c>
      <c r="S66" s="21">
        <f t="shared" si="161"/>
        <v>3</v>
      </c>
      <c r="T66" s="21">
        <f t="shared" si="162"/>
        <v>0</v>
      </c>
      <c r="U66" s="21">
        <f t="shared" si="163"/>
        <v>0</v>
      </c>
      <c r="V66" s="21">
        <f>VLOOKUP($L66,EQP!$A$2:$S$10,5,0)</f>
        <v>360</v>
      </c>
      <c r="W66" s="21">
        <f>VLOOKUP($L66,EQP!$A$2:$S$10,6,0)</f>
        <v>560</v>
      </c>
      <c r="X66" s="21">
        <f>VLOOKUP($L66,EQP!$A$2:$S$10,7,0)</f>
        <v>105</v>
      </c>
      <c r="Y66" s="21">
        <f t="shared" si="136"/>
        <v>0</v>
      </c>
      <c r="Z66" s="21">
        <f t="shared" si="137"/>
        <v>4</v>
      </c>
      <c r="AA66" s="21">
        <f t="shared" si="138"/>
        <v>0</v>
      </c>
      <c r="AB66" s="21">
        <f t="shared" si="164"/>
        <v>0</v>
      </c>
      <c r="AC66" s="21">
        <f t="shared" si="165"/>
        <v>0</v>
      </c>
      <c r="AD66" s="21">
        <f t="shared" si="166"/>
        <v>0</v>
      </c>
      <c r="AE66" s="21">
        <f>VLOOKUP($L66,EQP!$A$2:$S$10,8,0)</f>
        <v>105</v>
      </c>
      <c r="AF66" s="21">
        <f>VLOOKUP($L66,EQP!$A$2:$S$10,9,0)</f>
        <v>560</v>
      </c>
      <c r="AG66" s="21">
        <f>VLOOKUP($L66,EQP!$A$2:$S$10,10,0)</f>
        <v>360</v>
      </c>
      <c r="AH66" s="21">
        <f t="shared" si="139"/>
        <v>0</v>
      </c>
      <c r="AI66" s="21">
        <f t="shared" si="140"/>
        <v>4</v>
      </c>
      <c r="AJ66" s="21">
        <f t="shared" si="141"/>
        <v>1</v>
      </c>
      <c r="AK66" s="21">
        <f t="shared" si="167"/>
        <v>0</v>
      </c>
      <c r="AL66" s="21">
        <f t="shared" si="168"/>
        <v>1</v>
      </c>
      <c r="AM66" s="21">
        <f t="shared" si="169"/>
        <v>0</v>
      </c>
      <c r="AN66" s="21">
        <f>VLOOKUP($L66,EQP!$A$2:$S$10,11,0)</f>
        <v>105</v>
      </c>
      <c r="AO66" s="21">
        <f>VLOOKUP($L66,EQP!$A$2:$S$10,12,0)</f>
        <v>360</v>
      </c>
      <c r="AP66" s="21">
        <f>VLOOKUP($L66,EQP!$A$2:$S$10,13,0)</f>
        <v>560</v>
      </c>
      <c r="AQ66" s="21">
        <f t="shared" si="142"/>
        <v>0</v>
      </c>
      <c r="AR66" s="21">
        <f t="shared" si="143"/>
        <v>3</v>
      </c>
      <c r="AS66" s="21">
        <f t="shared" si="144"/>
        <v>1</v>
      </c>
      <c r="AT66" s="21">
        <f t="shared" si="170"/>
        <v>0</v>
      </c>
      <c r="AU66" s="21">
        <f t="shared" si="171"/>
        <v>1</v>
      </c>
      <c r="AV66" s="21">
        <f t="shared" si="172"/>
        <v>0</v>
      </c>
      <c r="AW66" s="21">
        <f>VLOOKUP($L66,EQP!$A$2:$S$10,14,0)</f>
        <v>360</v>
      </c>
      <c r="AX66" s="21">
        <f>VLOOKUP($L66,EQP!$A$2:$S$10,15,0)</f>
        <v>105</v>
      </c>
      <c r="AY66" s="21">
        <f>VLOOKUP($L66,EQP!$A$2:$S$10,16,0)</f>
        <v>560</v>
      </c>
      <c r="AZ66" s="21">
        <f t="shared" si="145"/>
        <v>0</v>
      </c>
      <c r="BA66" s="21">
        <f t="shared" si="146"/>
        <v>0</v>
      </c>
      <c r="BB66" s="21">
        <f t="shared" si="147"/>
        <v>1</v>
      </c>
      <c r="BC66" s="21">
        <f t="shared" si="173"/>
        <v>0</v>
      </c>
      <c r="BD66" s="21">
        <f t="shared" si="174"/>
        <v>1</v>
      </c>
      <c r="BE66" s="21">
        <f t="shared" si="175"/>
        <v>0</v>
      </c>
      <c r="BF66" s="21">
        <f>VLOOKUP($L66,EQP!$A$2:$S$10,17,0)</f>
        <v>560</v>
      </c>
      <c r="BG66" s="21">
        <f>VLOOKUP($L66,EQP!$A$2:$S$10,18,0)</f>
        <v>105</v>
      </c>
      <c r="BH66" s="21">
        <f>VLOOKUP($L66,EQP!$A$2:$S$10,19,0)</f>
        <v>360</v>
      </c>
      <c r="BI66" s="21">
        <f t="shared" si="148"/>
        <v>1</v>
      </c>
      <c r="BJ66" s="21">
        <f t="shared" si="149"/>
        <v>0</v>
      </c>
      <c r="BK66" s="21">
        <f t="shared" si="150"/>
        <v>1</v>
      </c>
      <c r="BL66" s="21">
        <f t="shared" si="176"/>
        <v>0</v>
      </c>
      <c r="BM66" s="21">
        <f t="shared" si="177"/>
        <v>1</v>
      </c>
      <c r="BN66" s="21">
        <f t="shared" si="178"/>
        <v>0</v>
      </c>
    </row>
    <row r="67" spans="1:66" x14ac:dyDescent="0.3">
      <c r="A67" s="5" t="str">
        <f t="shared" ref="A67:A130" si="180">IF(B67="","","1")</f>
        <v>1</v>
      </c>
      <c r="B67" s="6">
        <f t="shared" si="151"/>
        <v>7</v>
      </c>
      <c r="C67" s="7">
        <f t="shared" si="152"/>
        <v>14007840</v>
      </c>
      <c r="D67" s="7" t="str">
        <f t="shared" si="153"/>
        <v>END CAP LH ASSY</v>
      </c>
      <c r="E67" s="6">
        <f t="shared" si="154"/>
        <v>130</v>
      </c>
      <c r="F67" s="6">
        <f t="shared" si="155"/>
        <v>50</v>
      </c>
      <c r="G67" s="6">
        <f t="shared" si="156"/>
        <v>385</v>
      </c>
      <c r="H67" s="6">
        <f t="shared" si="157"/>
        <v>192</v>
      </c>
      <c r="I67" s="6">
        <f t="shared" si="158"/>
        <v>1</v>
      </c>
      <c r="J67" s="6">
        <f t="shared" si="159"/>
        <v>192</v>
      </c>
      <c r="K67" s="6">
        <f t="shared" si="160"/>
        <v>18</v>
      </c>
      <c r="L67" s="5" t="str">
        <f t="shared" si="179"/>
        <v>Crate (600 x 400 x 120) mm</v>
      </c>
      <c r="M67" s="21">
        <f>VLOOKUP($L67,EQP!$A$2:$S$10,2,0)</f>
        <v>560</v>
      </c>
      <c r="N67" s="21">
        <f>VLOOKUP($L67,EQP!$A$2:$S$10,3,0)</f>
        <v>360</v>
      </c>
      <c r="O67" s="21">
        <f>VLOOKUP($L67,EQP!$A$2:$S$10,4,0)</f>
        <v>105</v>
      </c>
      <c r="P67" s="21">
        <f t="shared" si="133"/>
        <v>4</v>
      </c>
      <c r="Q67" s="21">
        <f t="shared" si="134"/>
        <v>6</v>
      </c>
      <c r="R67" s="21">
        <f t="shared" si="135"/>
        <v>0</v>
      </c>
      <c r="S67" s="21">
        <f t="shared" si="161"/>
        <v>24</v>
      </c>
      <c r="T67" s="21">
        <f t="shared" si="162"/>
        <v>0</v>
      </c>
      <c r="U67" s="21">
        <f t="shared" si="163"/>
        <v>0</v>
      </c>
      <c r="V67" s="21">
        <f>VLOOKUP($L67,EQP!$A$2:$S$10,5,0)</f>
        <v>360</v>
      </c>
      <c r="W67" s="21">
        <f>VLOOKUP($L67,EQP!$A$2:$S$10,6,0)</f>
        <v>560</v>
      </c>
      <c r="X67" s="21">
        <f>VLOOKUP($L67,EQP!$A$2:$S$10,7,0)</f>
        <v>105</v>
      </c>
      <c r="Y67" s="21">
        <f t="shared" si="136"/>
        <v>2</v>
      </c>
      <c r="Z67" s="21">
        <f t="shared" si="137"/>
        <v>10</v>
      </c>
      <c r="AA67" s="21">
        <f t="shared" si="138"/>
        <v>0</v>
      </c>
      <c r="AB67" s="21">
        <f t="shared" si="164"/>
        <v>20</v>
      </c>
      <c r="AC67" s="21">
        <f t="shared" si="165"/>
        <v>0</v>
      </c>
      <c r="AD67" s="21">
        <f t="shared" si="166"/>
        <v>0</v>
      </c>
      <c r="AE67" s="21">
        <f>VLOOKUP($L67,EQP!$A$2:$S$10,8,0)</f>
        <v>105</v>
      </c>
      <c r="AF67" s="21">
        <f>VLOOKUP($L67,EQP!$A$2:$S$10,9,0)</f>
        <v>560</v>
      </c>
      <c r="AG67" s="21">
        <f>VLOOKUP($L67,EQP!$A$2:$S$10,10,0)</f>
        <v>360</v>
      </c>
      <c r="AH67" s="21">
        <f t="shared" si="139"/>
        <v>0</v>
      </c>
      <c r="AI67" s="21">
        <f t="shared" si="140"/>
        <v>10</v>
      </c>
      <c r="AJ67" s="21">
        <f t="shared" si="141"/>
        <v>0</v>
      </c>
      <c r="AK67" s="21">
        <f t="shared" si="167"/>
        <v>0</v>
      </c>
      <c r="AL67" s="21">
        <f t="shared" si="168"/>
        <v>0</v>
      </c>
      <c r="AM67" s="21">
        <f t="shared" si="169"/>
        <v>0</v>
      </c>
      <c r="AN67" s="21">
        <f>VLOOKUP($L67,EQP!$A$2:$S$10,11,0)</f>
        <v>105</v>
      </c>
      <c r="AO67" s="21">
        <f>VLOOKUP($L67,EQP!$A$2:$S$10,12,0)</f>
        <v>360</v>
      </c>
      <c r="AP67" s="21">
        <f>VLOOKUP($L67,EQP!$A$2:$S$10,13,0)</f>
        <v>560</v>
      </c>
      <c r="AQ67" s="21">
        <f t="shared" si="142"/>
        <v>0</v>
      </c>
      <c r="AR67" s="21">
        <f t="shared" si="143"/>
        <v>6</v>
      </c>
      <c r="AS67" s="21">
        <f t="shared" si="144"/>
        <v>1</v>
      </c>
      <c r="AT67" s="21">
        <f t="shared" si="170"/>
        <v>0</v>
      </c>
      <c r="AU67" s="21">
        <f t="shared" si="171"/>
        <v>1</v>
      </c>
      <c r="AV67" s="21">
        <f t="shared" si="172"/>
        <v>0</v>
      </c>
      <c r="AW67" s="21">
        <f>VLOOKUP($L67,EQP!$A$2:$S$10,14,0)</f>
        <v>360</v>
      </c>
      <c r="AX67" s="21">
        <f>VLOOKUP($L67,EQP!$A$2:$S$10,15,0)</f>
        <v>105</v>
      </c>
      <c r="AY67" s="21">
        <f>VLOOKUP($L67,EQP!$A$2:$S$10,16,0)</f>
        <v>560</v>
      </c>
      <c r="AZ67" s="21">
        <f t="shared" si="145"/>
        <v>2</v>
      </c>
      <c r="BA67" s="21">
        <f t="shared" si="146"/>
        <v>1</v>
      </c>
      <c r="BB67" s="21">
        <f t="shared" si="147"/>
        <v>1</v>
      </c>
      <c r="BC67" s="21">
        <f t="shared" si="173"/>
        <v>2</v>
      </c>
      <c r="BD67" s="21">
        <f t="shared" si="174"/>
        <v>1</v>
      </c>
      <c r="BE67" s="21">
        <f t="shared" si="175"/>
        <v>2</v>
      </c>
      <c r="BF67" s="21">
        <f>VLOOKUP($L67,EQP!$A$2:$S$10,17,0)</f>
        <v>560</v>
      </c>
      <c r="BG67" s="21">
        <f>VLOOKUP($L67,EQP!$A$2:$S$10,18,0)</f>
        <v>105</v>
      </c>
      <c r="BH67" s="21">
        <f>VLOOKUP($L67,EQP!$A$2:$S$10,19,0)</f>
        <v>360</v>
      </c>
      <c r="BI67" s="21">
        <f t="shared" si="148"/>
        <v>4</v>
      </c>
      <c r="BJ67" s="21">
        <f t="shared" si="149"/>
        <v>1</v>
      </c>
      <c r="BK67" s="21">
        <f t="shared" si="150"/>
        <v>0</v>
      </c>
      <c r="BL67" s="21">
        <f t="shared" si="176"/>
        <v>4</v>
      </c>
      <c r="BM67" s="21">
        <f t="shared" si="177"/>
        <v>0</v>
      </c>
      <c r="BN67" s="21">
        <f t="shared" si="178"/>
        <v>0</v>
      </c>
    </row>
    <row r="68" spans="1:66" x14ac:dyDescent="0.3">
      <c r="A68" s="5" t="str">
        <f t="shared" si="180"/>
        <v>1</v>
      </c>
      <c r="B68" s="6">
        <f t="shared" si="151"/>
        <v>8</v>
      </c>
      <c r="C68" s="7">
        <f t="shared" si="152"/>
        <v>14007841</v>
      </c>
      <c r="D68" s="7" t="str">
        <f t="shared" si="153"/>
        <v>END CAP RH ASSY</v>
      </c>
      <c r="E68" s="6">
        <f t="shared" si="154"/>
        <v>130</v>
      </c>
      <c r="F68" s="6">
        <f t="shared" si="155"/>
        <v>50</v>
      </c>
      <c r="G68" s="6">
        <f t="shared" si="156"/>
        <v>385</v>
      </c>
      <c r="H68" s="6">
        <f t="shared" si="157"/>
        <v>192</v>
      </c>
      <c r="I68" s="6">
        <f t="shared" si="158"/>
        <v>1</v>
      </c>
      <c r="J68" s="6">
        <f t="shared" si="159"/>
        <v>192</v>
      </c>
      <c r="K68" s="6">
        <f t="shared" si="160"/>
        <v>18</v>
      </c>
      <c r="L68" s="5" t="str">
        <f t="shared" si="179"/>
        <v>Crate (600 x 400 x 120) mm</v>
      </c>
      <c r="M68" s="21">
        <f>VLOOKUP($L68,EQP!$A$2:$S$10,2,0)</f>
        <v>560</v>
      </c>
      <c r="N68" s="21">
        <f>VLOOKUP($L68,EQP!$A$2:$S$10,3,0)</f>
        <v>360</v>
      </c>
      <c r="O68" s="21">
        <f>VLOOKUP($L68,EQP!$A$2:$S$10,4,0)</f>
        <v>105</v>
      </c>
      <c r="P68" s="21">
        <f t="shared" si="133"/>
        <v>4</v>
      </c>
      <c r="Q68" s="21">
        <f t="shared" si="134"/>
        <v>6</v>
      </c>
      <c r="R68" s="21">
        <f t="shared" si="135"/>
        <v>0</v>
      </c>
      <c r="S68" s="21">
        <f t="shared" si="161"/>
        <v>24</v>
      </c>
      <c r="T68" s="21">
        <f t="shared" si="162"/>
        <v>0</v>
      </c>
      <c r="U68" s="21">
        <f t="shared" si="163"/>
        <v>0</v>
      </c>
      <c r="V68" s="21">
        <f>VLOOKUP($L68,EQP!$A$2:$S$10,5,0)</f>
        <v>360</v>
      </c>
      <c r="W68" s="21">
        <f>VLOOKUP($L68,EQP!$A$2:$S$10,6,0)</f>
        <v>560</v>
      </c>
      <c r="X68" s="21">
        <f>VLOOKUP($L68,EQP!$A$2:$S$10,7,0)</f>
        <v>105</v>
      </c>
      <c r="Y68" s="21">
        <f t="shared" si="136"/>
        <v>2</v>
      </c>
      <c r="Z68" s="21">
        <f t="shared" si="137"/>
        <v>10</v>
      </c>
      <c r="AA68" s="21">
        <f t="shared" si="138"/>
        <v>0</v>
      </c>
      <c r="AB68" s="21">
        <f t="shared" si="164"/>
        <v>20</v>
      </c>
      <c r="AC68" s="21">
        <f t="shared" si="165"/>
        <v>0</v>
      </c>
      <c r="AD68" s="21">
        <f t="shared" si="166"/>
        <v>0</v>
      </c>
      <c r="AE68" s="21">
        <f>VLOOKUP($L68,EQP!$A$2:$S$10,8,0)</f>
        <v>105</v>
      </c>
      <c r="AF68" s="21">
        <f>VLOOKUP($L68,EQP!$A$2:$S$10,9,0)</f>
        <v>560</v>
      </c>
      <c r="AG68" s="21">
        <f>VLOOKUP($L68,EQP!$A$2:$S$10,10,0)</f>
        <v>360</v>
      </c>
      <c r="AH68" s="21">
        <f t="shared" si="139"/>
        <v>0</v>
      </c>
      <c r="AI68" s="21">
        <f t="shared" si="140"/>
        <v>10</v>
      </c>
      <c r="AJ68" s="21">
        <f t="shared" si="141"/>
        <v>0</v>
      </c>
      <c r="AK68" s="21">
        <f t="shared" si="167"/>
        <v>0</v>
      </c>
      <c r="AL68" s="21">
        <f t="shared" si="168"/>
        <v>0</v>
      </c>
      <c r="AM68" s="21">
        <f t="shared" si="169"/>
        <v>0</v>
      </c>
      <c r="AN68" s="21">
        <f>VLOOKUP($L68,EQP!$A$2:$S$10,11,0)</f>
        <v>105</v>
      </c>
      <c r="AO68" s="21">
        <f>VLOOKUP($L68,EQP!$A$2:$S$10,12,0)</f>
        <v>360</v>
      </c>
      <c r="AP68" s="21">
        <f>VLOOKUP($L68,EQP!$A$2:$S$10,13,0)</f>
        <v>560</v>
      </c>
      <c r="AQ68" s="21">
        <f t="shared" si="142"/>
        <v>0</v>
      </c>
      <c r="AR68" s="21">
        <f t="shared" si="143"/>
        <v>6</v>
      </c>
      <c r="AS68" s="21">
        <f t="shared" si="144"/>
        <v>1</v>
      </c>
      <c r="AT68" s="21">
        <f t="shared" si="170"/>
        <v>0</v>
      </c>
      <c r="AU68" s="21">
        <f t="shared" si="171"/>
        <v>1</v>
      </c>
      <c r="AV68" s="21">
        <f t="shared" si="172"/>
        <v>0</v>
      </c>
      <c r="AW68" s="21">
        <f>VLOOKUP($L68,EQP!$A$2:$S$10,14,0)</f>
        <v>360</v>
      </c>
      <c r="AX68" s="21">
        <f>VLOOKUP($L68,EQP!$A$2:$S$10,15,0)</f>
        <v>105</v>
      </c>
      <c r="AY68" s="21">
        <f>VLOOKUP($L68,EQP!$A$2:$S$10,16,0)</f>
        <v>560</v>
      </c>
      <c r="AZ68" s="21">
        <f t="shared" si="145"/>
        <v>2</v>
      </c>
      <c r="BA68" s="21">
        <f t="shared" si="146"/>
        <v>1</v>
      </c>
      <c r="BB68" s="21">
        <f t="shared" si="147"/>
        <v>1</v>
      </c>
      <c r="BC68" s="21">
        <f t="shared" si="173"/>
        <v>2</v>
      </c>
      <c r="BD68" s="21">
        <f t="shared" si="174"/>
        <v>1</v>
      </c>
      <c r="BE68" s="21">
        <f t="shared" si="175"/>
        <v>2</v>
      </c>
      <c r="BF68" s="21">
        <f>VLOOKUP($L68,EQP!$A$2:$S$10,17,0)</f>
        <v>560</v>
      </c>
      <c r="BG68" s="21">
        <f>VLOOKUP($L68,EQP!$A$2:$S$10,18,0)</f>
        <v>105</v>
      </c>
      <c r="BH68" s="21">
        <f>VLOOKUP($L68,EQP!$A$2:$S$10,19,0)</f>
        <v>360</v>
      </c>
      <c r="BI68" s="21">
        <f t="shared" si="148"/>
        <v>4</v>
      </c>
      <c r="BJ68" s="21">
        <f t="shared" si="149"/>
        <v>1</v>
      </c>
      <c r="BK68" s="21">
        <f t="shared" si="150"/>
        <v>0</v>
      </c>
      <c r="BL68" s="21">
        <f t="shared" si="176"/>
        <v>4</v>
      </c>
      <c r="BM68" s="21">
        <f t="shared" si="177"/>
        <v>0</v>
      </c>
      <c r="BN68" s="21">
        <f t="shared" si="178"/>
        <v>0</v>
      </c>
    </row>
    <row r="69" spans="1:66" x14ac:dyDescent="0.3">
      <c r="A69" s="5" t="str">
        <f t="shared" si="180"/>
        <v>1</v>
      </c>
      <c r="B69" s="6">
        <f t="shared" si="151"/>
        <v>9</v>
      </c>
      <c r="C69" s="7">
        <f t="shared" si="152"/>
        <v>14007842</v>
      </c>
      <c r="D69" s="7" t="str">
        <f t="shared" si="153"/>
        <v>DRIVER SIDE KNEE COVER RHD ASSY</v>
      </c>
      <c r="E69" s="6">
        <f t="shared" si="154"/>
        <v>170</v>
      </c>
      <c r="F69" s="6">
        <f t="shared" si="155"/>
        <v>70</v>
      </c>
      <c r="G69" s="6">
        <f t="shared" si="156"/>
        <v>265</v>
      </c>
      <c r="H69" s="6">
        <f t="shared" si="157"/>
        <v>80</v>
      </c>
      <c r="I69" s="6">
        <f t="shared" si="158"/>
        <v>1</v>
      </c>
      <c r="J69" s="6">
        <f t="shared" si="159"/>
        <v>80</v>
      </c>
      <c r="K69" s="6">
        <f t="shared" si="160"/>
        <v>40</v>
      </c>
      <c r="L69" s="5" t="str">
        <f t="shared" si="179"/>
        <v>Crate (600 x 400 x 120) mm</v>
      </c>
      <c r="M69" s="21">
        <f>VLOOKUP($L69,EQP!$A$2:$S$10,2,0)</f>
        <v>560</v>
      </c>
      <c r="N69" s="21">
        <f>VLOOKUP($L69,EQP!$A$2:$S$10,3,0)</f>
        <v>360</v>
      </c>
      <c r="O69" s="21">
        <f>VLOOKUP($L69,EQP!$A$2:$S$10,4,0)</f>
        <v>105</v>
      </c>
      <c r="P69" s="21">
        <f t="shared" si="133"/>
        <v>3</v>
      </c>
      <c r="Q69" s="21">
        <f t="shared" si="134"/>
        <v>4</v>
      </c>
      <c r="R69" s="21">
        <f t="shared" si="135"/>
        <v>0</v>
      </c>
      <c r="S69" s="21">
        <f t="shared" si="161"/>
        <v>12</v>
      </c>
      <c r="T69" s="21">
        <f t="shared" si="162"/>
        <v>0</v>
      </c>
      <c r="U69" s="21">
        <f t="shared" si="163"/>
        <v>0</v>
      </c>
      <c r="V69" s="21">
        <f>VLOOKUP($L69,EQP!$A$2:$S$10,5,0)</f>
        <v>360</v>
      </c>
      <c r="W69" s="21">
        <f>VLOOKUP($L69,EQP!$A$2:$S$10,6,0)</f>
        <v>560</v>
      </c>
      <c r="X69" s="21">
        <f>VLOOKUP($L69,EQP!$A$2:$S$10,7,0)</f>
        <v>105</v>
      </c>
      <c r="Y69" s="21">
        <f t="shared" si="136"/>
        <v>2</v>
      </c>
      <c r="Z69" s="21">
        <f t="shared" si="137"/>
        <v>7</v>
      </c>
      <c r="AA69" s="21">
        <f t="shared" si="138"/>
        <v>0</v>
      </c>
      <c r="AB69" s="21">
        <f t="shared" si="164"/>
        <v>14</v>
      </c>
      <c r="AC69" s="21">
        <f t="shared" si="165"/>
        <v>0</v>
      </c>
      <c r="AD69" s="21">
        <f t="shared" si="166"/>
        <v>0</v>
      </c>
      <c r="AE69" s="21">
        <f>VLOOKUP($L69,EQP!$A$2:$S$10,8,0)</f>
        <v>105</v>
      </c>
      <c r="AF69" s="21">
        <f>VLOOKUP($L69,EQP!$A$2:$S$10,9,0)</f>
        <v>560</v>
      </c>
      <c r="AG69" s="21">
        <f>VLOOKUP($L69,EQP!$A$2:$S$10,10,0)</f>
        <v>360</v>
      </c>
      <c r="AH69" s="21">
        <f t="shared" si="139"/>
        <v>0</v>
      </c>
      <c r="AI69" s="21">
        <f t="shared" si="140"/>
        <v>7</v>
      </c>
      <c r="AJ69" s="21">
        <f t="shared" si="141"/>
        <v>1</v>
      </c>
      <c r="AK69" s="21">
        <f t="shared" si="167"/>
        <v>0</v>
      </c>
      <c r="AL69" s="21">
        <f t="shared" si="168"/>
        <v>1</v>
      </c>
      <c r="AM69" s="21">
        <f t="shared" si="169"/>
        <v>0</v>
      </c>
      <c r="AN69" s="21">
        <f>VLOOKUP($L69,EQP!$A$2:$S$10,11,0)</f>
        <v>105</v>
      </c>
      <c r="AO69" s="21">
        <f>VLOOKUP($L69,EQP!$A$2:$S$10,12,0)</f>
        <v>360</v>
      </c>
      <c r="AP69" s="21">
        <f>VLOOKUP($L69,EQP!$A$2:$S$10,13,0)</f>
        <v>560</v>
      </c>
      <c r="AQ69" s="21">
        <f t="shared" si="142"/>
        <v>0</v>
      </c>
      <c r="AR69" s="21">
        <f t="shared" si="143"/>
        <v>4</v>
      </c>
      <c r="AS69" s="21">
        <f t="shared" si="144"/>
        <v>2</v>
      </c>
      <c r="AT69" s="21">
        <f t="shared" si="170"/>
        <v>0</v>
      </c>
      <c r="AU69" s="21">
        <f t="shared" si="171"/>
        <v>2</v>
      </c>
      <c r="AV69" s="21">
        <f t="shared" si="172"/>
        <v>0</v>
      </c>
      <c r="AW69" s="21">
        <f>VLOOKUP($L69,EQP!$A$2:$S$10,14,0)</f>
        <v>360</v>
      </c>
      <c r="AX69" s="21">
        <f>VLOOKUP($L69,EQP!$A$2:$S$10,15,0)</f>
        <v>105</v>
      </c>
      <c r="AY69" s="21">
        <f>VLOOKUP($L69,EQP!$A$2:$S$10,16,0)</f>
        <v>560</v>
      </c>
      <c r="AZ69" s="21">
        <f t="shared" si="145"/>
        <v>2</v>
      </c>
      <c r="BA69" s="21">
        <f t="shared" si="146"/>
        <v>1</v>
      </c>
      <c r="BB69" s="21">
        <f t="shared" si="147"/>
        <v>2</v>
      </c>
      <c r="BC69" s="21">
        <f t="shared" si="173"/>
        <v>2</v>
      </c>
      <c r="BD69" s="21">
        <f t="shared" si="174"/>
        <v>2</v>
      </c>
      <c r="BE69" s="21">
        <f t="shared" si="175"/>
        <v>4</v>
      </c>
      <c r="BF69" s="21">
        <f>VLOOKUP($L69,EQP!$A$2:$S$10,17,0)</f>
        <v>560</v>
      </c>
      <c r="BG69" s="21">
        <f>VLOOKUP($L69,EQP!$A$2:$S$10,18,0)</f>
        <v>105</v>
      </c>
      <c r="BH69" s="21">
        <f>VLOOKUP($L69,EQP!$A$2:$S$10,19,0)</f>
        <v>360</v>
      </c>
      <c r="BI69" s="21">
        <f t="shared" si="148"/>
        <v>3</v>
      </c>
      <c r="BJ69" s="21">
        <f t="shared" si="149"/>
        <v>1</v>
      </c>
      <c r="BK69" s="21">
        <f t="shared" si="150"/>
        <v>1</v>
      </c>
      <c r="BL69" s="21">
        <f t="shared" si="176"/>
        <v>3</v>
      </c>
      <c r="BM69" s="21">
        <f t="shared" si="177"/>
        <v>1</v>
      </c>
      <c r="BN69" s="21">
        <f t="shared" si="178"/>
        <v>3</v>
      </c>
    </row>
    <row r="70" spans="1:66" x14ac:dyDescent="0.3">
      <c r="A70" s="5" t="str">
        <f t="shared" si="180"/>
        <v>1</v>
      </c>
      <c r="B70" s="6">
        <f t="shared" si="151"/>
        <v>10</v>
      </c>
      <c r="C70" s="7">
        <f t="shared" si="152"/>
        <v>14007843</v>
      </c>
      <c r="D70" s="7" t="str">
        <f t="shared" si="153"/>
        <v>DIN_BIN</v>
      </c>
      <c r="E70" s="6">
        <f t="shared" si="154"/>
        <v>225</v>
      </c>
      <c r="F70" s="6">
        <f t="shared" si="155"/>
        <v>70</v>
      </c>
      <c r="G70" s="6">
        <f t="shared" si="156"/>
        <v>310</v>
      </c>
      <c r="H70" s="6">
        <f t="shared" si="157"/>
        <v>192</v>
      </c>
      <c r="I70" s="6">
        <f t="shared" si="158"/>
        <v>3</v>
      </c>
      <c r="J70" s="6">
        <f t="shared" si="159"/>
        <v>576</v>
      </c>
      <c r="K70" s="6">
        <f t="shared" si="160"/>
        <v>6</v>
      </c>
      <c r="L70" s="5" t="str">
        <f t="shared" si="179"/>
        <v>Crate (600 x 400 x 120) mm</v>
      </c>
      <c r="M70" s="21">
        <f>VLOOKUP($L70,EQP!$A$2:$S$10,2,0)</f>
        <v>560</v>
      </c>
      <c r="N70" s="21">
        <f>VLOOKUP($L70,EQP!$A$2:$S$10,3,0)</f>
        <v>360</v>
      </c>
      <c r="O70" s="21">
        <f>VLOOKUP($L70,EQP!$A$2:$S$10,4,0)</f>
        <v>105</v>
      </c>
      <c r="P70" s="21">
        <f t="shared" si="133"/>
        <v>2</v>
      </c>
      <c r="Q70" s="21">
        <f t="shared" si="134"/>
        <v>4</v>
      </c>
      <c r="R70" s="21">
        <f t="shared" si="135"/>
        <v>0</v>
      </c>
      <c r="S70" s="21">
        <f t="shared" si="161"/>
        <v>8</v>
      </c>
      <c r="T70" s="21">
        <f t="shared" si="162"/>
        <v>0</v>
      </c>
      <c r="U70" s="21">
        <f t="shared" si="163"/>
        <v>0</v>
      </c>
      <c r="V70" s="21">
        <f>VLOOKUP($L70,EQP!$A$2:$S$10,5,0)</f>
        <v>360</v>
      </c>
      <c r="W70" s="21">
        <f>VLOOKUP($L70,EQP!$A$2:$S$10,6,0)</f>
        <v>560</v>
      </c>
      <c r="X70" s="21">
        <f>VLOOKUP($L70,EQP!$A$2:$S$10,7,0)</f>
        <v>105</v>
      </c>
      <c r="Y70" s="21">
        <f t="shared" si="136"/>
        <v>1</v>
      </c>
      <c r="Z70" s="21">
        <f t="shared" si="137"/>
        <v>7</v>
      </c>
      <c r="AA70" s="21">
        <f t="shared" si="138"/>
        <v>0</v>
      </c>
      <c r="AB70" s="21">
        <f t="shared" si="164"/>
        <v>7</v>
      </c>
      <c r="AC70" s="21">
        <f t="shared" si="165"/>
        <v>0</v>
      </c>
      <c r="AD70" s="21">
        <f t="shared" si="166"/>
        <v>0</v>
      </c>
      <c r="AE70" s="21">
        <f>VLOOKUP($L70,EQP!$A$2:$S$10,8,0)</f>
        <v>105</v>
      </c>
      <c r="AF70" s="21">
        <f>VLOOKUP($L70,EQP!$A$2:$S$10,9,0)</f>
        <v>560</v>
      </c>
      <c r="AG70" s="21">
        <f>VLOOKUP($L70,EQP!$A$2:$S$10,10,0)</f>
        <v>360</v>
      </c>
      <c r="AH70" s="21">
        <f t="shared" si="139"/>
        <v>0</v>
      </c>
      <c r="AI70" s="21">
        <f t="shared" si="140"/>
        <v>7</v>
      </c>
      <c r="AJ70" s="21">
        <f t="shared" si="141"/>
        <v>1</v>
      </c>
      <c r="AK70" s="21">
        <f t="shared" si="167"/>
        <v>0</v>
      </c>
      <c r="AL70" s="21">
        <f t="shared" si="168"/>
        <v>1</v>
      </c>
      <c r="AM70" s="21">
        <f t="shared" si="169"/>
        <v>0</v>
      </c>
      <c r="AN70" s="21">
        <f>VLOOKUP($L70,EQP!$A$2:$S$10,11,0)</f>
        <v>105</v>
      </c>
      <c r="AO70" s="21">
        <f>VLOOKUP($L70,EQP!$A$2:$S$10,12,0)</f>
        <v>360</v>
      </c>
      <c r="AP70" s="21">
        <f>VLOOKUP($L70,EQP!$A$2:$S$10,13,0)</f>
        <v>560</v>
      </c>
      <c r="AQ70" s="21">
        <f t="shared" si="142"/>
        <v>0</v>
      </c>
      <c r="AR70" s="21">
        <f t="shared" si="143"/>
        <v>4</v>
      </c>
      <c r="AS70" s="21">
        <f t="shared" si="144"/>
        <v>1</v>
      </c>
      <c r="AT70" s="21">
        <f t="shared" si="170"/>
        <v>0</v>
      </c>
      <c r="AU70" s="21">
        <f t="shared" si="171"/>
        <v>1</v>
      </c>
      <c r="AV70" s="21">
        <f t="shared" si="172"/>
        <v>0</v>
      </c>
      <c r="AW70" s="21">
        <f>VLOOKUP($L70,EQP!$A$2:$S$10,14,0)</f>
        <v>360</v>
      </c>
      <c r="AX70" s="21">
        <f>VLOOKUP($L70,EQP!$A$2:$S$10,15,0)</f>
        <v>105</v>
      </c>
      <c r="AY70" s="21">
        <f>VLOOKUP($L70,EQP!$A$2:$S$10,16,0)</f>
        <v>560</v>
      </c>
      <c r="AZ70" s="21">
        <f t="shared" si="145"/>
        <v>1</v>
      </c>
      <c r="BA70" s="21">
        <f t="shared" si="146"/>
        <v>1</v>
      </c>
      <c r="BB70" s="21">
        <f t="shared" si="147"/>
        <v>1</v>
      </c>
      <c r="BC70" s="21">
        <f t="shared" si="173"/>
        <v>1</v>
      </c>
      <c r="BD70" s="21">
        <f t="shared" si="174"/>
        <v>1</v>
      </c>
      <c r="BE70" s="21">
        <f t="shared" si="175"/>
        <v>1</v>
      </c>
      <c r="BF70" s="21">
        <f>VLOOKUP($L70,EQP!$A$2:$S$10,17,0)</f>
        <v>560</v>
      </c>
      <c r="BG70" s="21">
        <f>VLOOKUP($L70,EQP!$A$2:$S$10,18,0)</f>
        <v>105</v>
      </c>
      <c r="BH70" s="21">
        <f>VLOOKUP($L70,EQP!$A$2:$S$10,19,0)</f>
        <v>360</v>
      </c>
      <c r="BI70" s="21">
        <f t="shared" si="148"/>
        <v>2</v>
      </c>
      <c r="BJ70" s="21">
        <f t="shared" si="149"/>
        <v>1</v>
      </c>
      <c r="BK70" s="21">
        <f t="shared" si="150"/>
        <v>1</v>
      </c>
      <c r="BL70" s="21">
        <f t="shared" si="176"/>
        <v>2</v>
      </c>
      <c r="BM70" s="21">
        <f t="shared" si="177"/>
        <v>1</v>
      </c>
      <c r="BN70" s="21">
        <f t="shared" si="178"/>
        <v>2</v>
      </c>
    </row>
    <row r="71" spans="1:66" x14ac:dyDescent="0.3">
      <c r="A71" s="5" t="str">
        <f t="shared" si="180"/>
        <v/>
      </c>
    </row>
    <row r="72" spans="1:66" x14ac:dyDescent="0.3">
      <c r="A72" s="5" t="str">
        <f t="shared" si="180"/>
        <v/>
      </c>
    </row>
    <row r="73" spans="1:66" x14ac:dyDescent="0.3">
      <c r="A73" s="5" t="str">
        <f t="shared" si="180"/>
        <v/>
      </c>
    </row>
    <row r="74" spans="1:66" x14ac:dyDescent="0.3">
      <c r="A74" s="5" t="str">
        <f t="shared" si="180"/>
        <v/>
      </c>
    </row>
    <row r="75" spans="1:66" x14ac:dyDescent="0.3">
      <c r="A75" s="5" t="str">
        <f t="shared" si="180"/>
        <v/>
      </c>
    </row>
    <row r="76" spans="1:66" x14ac:dyDescent="0.3">
      <c r="A76" s="5" t="str">
        <f t="shared" si="180"/>
        <v/>
      </c>
    </row>
    <row r="77" spans="1:66" x14ac:dyDescent="0.3">
      <c r="A77" s="5" t="str">
        <f t="shared" si="180"/>
        <v/>
      </c>
    </row>
    <row r="78" spans="1:66" x14ac:dyDescent="0.3">
      <c r="A78" s="5" t="str">
        <f t="shared" si="180"/>
        <v/>
      </c>
    </row>
    <row r="79" spans="1:66" x14ac:dyDescent="0.3">
      <c r="A79" s="5" t="str">
        <f t="shared" si="180"/>
        <v/>
      </c>
    </row>
    <row r="80" spans="1:66" x14ac:dyDescent="0.3">
      <c r="A80" s="5" t="str">
        <f t="shared" si="180"/>
        <v/>
      </c>
    </row>
    <row r="81" spans="1:66" x14ac:dyDescent="0.3">
      <c r="A81" s="5" t="str">
        <f t="shared" si="180"/>
        <v>1</v>
      </c>
      <c r="B81" s="6">
        <f>$B61</f>
        <v>1</v>
      </c>
      <c r="C81" s="7">
        <f>$C61</f>
        <v>14007834</v>
      </c>
      <c r="D81" s="7" t="str">
        <f>$D61</f>
        <v>2.0_M_CENTER BEZEL PREMIUM ASSY</v>
      </c>
      <c r="E81" s="6">
        <f>$E61</f>
        <v>274</v>
      </c>
      <c r="F81" s="6">
        <f>$F61</f>
        <v>76</v>
      </c>
      <c r="G81" s="6">
        <f>$G61</f>
        <v>620</v>
      </c>
      <c r="H81" s="6">
        <f>$H61</f>
        <v>44</v>
      </c>
      <c r="I81" s="6">
        <f>$I61</f>
        <v>1</v>
      </c>
      <c r="J81" s="6">
        <f>$J61</f>
        <v>44</v>
      </c>
      <c r="K81" s="6">
        <f>$K61</f>
        <v>80</v>
      </c>
      <c r="L81" s="5" t="str">
        <f>EQP!A6</f>
        <v>Crate (600 x 400 x 170) mm</v>
      </c>
      <c r="M81" s="21">
        <f>VLOOKUP($L81,EQP!$A$2:$S$10,2,0)</f>
        <v>560</v>
      </c>
      <c r="N81" s="21">
        <f>VLOOKUP($L81,EQP!$A$2:$S$10,3,0)</f>
        <v>360</v>
      </c>
      <c r="O81" s="21">
        <f>VLOOKUP($L81,EQP!$A$2:$S$10,4,0)</f>
        <v>155</v>
      </c>
      <c r="P81" s="21">
        <f t="shared" ref="P81:P90" si="181">ROUNDDOWN($M81/($E81+5),0)</f>
        <v>2</v>
      </c>
      <c r="Q81" s="21">
        <f t="shared" ref="Q81:Q90" si="182">ROUNDDOWN($N81/($F81+5),0)</f>
        <v>4</v>
      </c>
      <c r="R81" s="21">
        <f t="shared" ref="R81:R90" si="183">ROUNDDOWN($O81/($G81+5),0)</f>
        <v>0</v>
      </c>
      <c r="S81" s="21">
        <f>$P81*$Q81</f>
        <v>8</v>
      </c>
      <c r="T81" s="21">
        <f>R81</f>
        <v>0</v>
      </c>
      <c r="U81" s="21">
        <f>S81*T81</f>
        <v>0</v>
      </c>
      <c r="V81" s="21">
        <f>VLOOKUP($L81,EQP!$A$2:$S$10,5,0)</f>
        <v>360</v>
      </c>
      <c r="W81" s="21">
        <f>VLOOKUP($L81,EQP!$A$2:$S$10,6,0)</f>
        <v>560</v>
      </c>
      <c r="X81" s="21">
        <f>VLOOKUP($L81,EQP!$A$2:$S$10,7,0)</f>
        <v>155</v>
      </c>
      <c r="Y81" s="21">
        <f t="shared" ref="Y81:Y90" si="184">ROUNDDOWN($N81/($E81+5),0)</f>
        <v>1</v>
      </c>
      <c r="Z81" s="21">
        <f t="shared" ref="Z81:Z90" si="185">ROUNDDOWN($W81/($F81+5),0)</f>
        <v>6</v>
      </c>
      <c r="AA81" s="21">
        <f t="shared" ref="AA81:AA90" si="186">ROUNDDOWN($X81/($G81+5),0)</f>
        <v>0</v>
      </c>
      <c r="AB81" s="21">
        <f>Y81*Z81</f>
        <v>6</v>
      </c>
      <c r="AC81" s="21">
        <f>AA81</f>
        <v>0</v>
      </c>
      <c r="AD81" s="21">
        <f>AB81*AC81</f>
        <v>0</v>
      </c>
      <c r="AE81" s="21">
        <f>VLOOKUP($L81,EQP!$A$2:$S$10,8,0)</f>
        <v>155</v>
      </c>
      <c r="AF81" s="21">
        <f>VLOOKUP($L81,EQP!$A$2:$S$10,9,0)</f>
        <v>560</v>
      </c>
      <c r="AG81" s="21">
        <f>VLOOKUP($L81,EQP!$A$2:$S$10,10,0)</f>
        <v>360</v>
      </c>
      <c r="AH81" s="21">
        <f t="shared" ref="AH81:AH90" si="187">ROUNDDOWN($AE81/($E81+5),0)</f>
        <v>0</v>
      </c>
      <c r="AI81" s="21">
        <f t="shared" ref="AI81:AI90" si="188">ROUNDDOWN($AF81/($F81+5),0)</f>
        <v>6</v>
      </c>
      <c r="AJ81" s="21">
        <f t="shared" ref="AJ81:AJ90" si="189">ROUNDDOWN($AG81/($G81+5),0)</f>
        <v>0</v>
      </c>
      <c r="AK81" s="21">
        <f>AH81*AI81</f>
        <v>0</v>
      </c>
      <c r="AL81" s="21">
        <f>AJ81</f>
        <v>0</v>
      </c>
      <c r="AM81" s="21">
        <f>AK81*AL81</f>
        <v>0</v>
      </c>
      <c r="AN81" s="21">
        <f>VLOOKUP($L81,EQP!$A$2:$S$10,11,0)</f>
        <v>155</v>
      </c>
      <c r="AO81" s="21">
        <f>VLOOKUP($L81,EQP!$A$2:$S$10,12,0)</f>
        <v>360</v>
      </c>
      <c r="AP81" s="21">
        <f>VLOOKUP($L81,EQP!$A$2:$S$10,13,0)</f>
        <v>560</v>
      </c>
      <c r="AQ81" s="21">
        <f t="shared" ref="AQ81:AQ90" si="190">ROUNDDOWN($AN81/($E81+5),0)</f>
        <v>0</v>
      </c>
      <c r="AR81" s="21">
        <f t="shared" ref="AR81:AR90" si="191">ROUNDDOWN($AO81/($F81+5),0)</f>
        <v>4</v>
      </c>
      <c r="AS81" s="21">
        <f t="shared" ref="AS81:AS90" si="192">ROUNDDOWN($AP81/($G81+5),0)</f>
        <v>0</v>
      </c>
      <c r="AT81" s="21">
        <f>AQ81*AR81</f>
        <v>0</v>
      </c>
      <c r="AU81" s="21">
        <f>AS81</f>
        <v>0</v>
      </c>
      <c r="AV81" s="21">
        <f>AT81*AU81</f>
        <v>0</v>
      </c>
      <c r="AW81" s="21">
        <f>VLOOKUP($L81,EQP!$A$2:$S$10,14,0)</f>
        <v>360</v>
      </c>
      <c r="AX81" s="21">
        <f>VLOOKUP($L81,EQP!$A$2:$S$10,15,0)</f>
        <v>155</v>
      </c>
      <c r="AY81" s="21">
        <f>VLOOKUP($L81,EQP!$A$2:$S$10,16,0)</f>
        <v>560</v>
      </c>
      <c r="AZ81" s="21">
        <f t="shared" ref="AZ81:AZ90" si="193">ROUNDDOWN($AW81/($E81+5),0)</f>
        <v>1</v>
      </c>
      <c r="BA81" s="21">
        <f t="shared" ref="BA81:BA90" si="194">ROUNDDOWN($AX81/($F81+5),0)</f>
        <v>1</v>
      </c>
      <c r="BB81" s="21">
        <f t="shared" ref="BB81:BB90" si="195">ROUNDDOWN($AY81/($G81+5),0)</f>
        <v>0</v>
      </c>
      <c r="BC81" s="21">
        <f>AZ81*BA81</f>
        <v>1</v>
      </c>
      <c r="BD81" s="21">
        <f>BB81</f>
        <v>0</v>
      </c>
      <c r="BE81" s="21">
        <f>BC81*BD81</f>
        <v>0</v>
      </c>
      <c r="BF81" s="21">
        <f>VLOOKUP($L81,EQP!$A$2:$S$10,17,0)</f>
        <v>560</v>
      </c>
      <c r="BG81" s="21">
        <f>VLOOKUP($L81,EQP!$A$2:$S$10,18,0)</f>
        <v>155</v>
      </c>
      <c r="BH81" s="21">
        <f>VLOOKUP($L81,EQP!$A$2:$S$10,19,0)</f>
        <v>360</v>
      </c>
      <c r="BI81" s="21">
        <f t="shared" ref="BI81:BI90" si="196">ROUNDDOWN($BF81/($E81+5),0)</f>
        <v>2</v>
      </c>
      <c r="BJ81" s="21">
        <f t="shared" ref="BJ81:BJ90" si="197">ROUNDDOWN($BG81/($F81+5),0)</f>
        <v>1</v>
      </c>
      <c r="BK81" s="21">
        <f t="shared" ref="BK81:BK90" si="198">ROUNDDOWN($BH81/($G81+5),0)</f>
        <v>0</v>
      </c>
      <c r="BL81" s="21">
        <f>BI81*BJ81</f>
        <v>2</v>
      </c>
      <c r="BM81" s="21">
        <f>BK81</f>
        <v>0</v>
      </c>
      <c r="BN81" s="21">
        <f>BL81*BM81</f>
        <v>0</v>
      </c>
    </row>
    <row r="82" spans="1:66" x14ac:dyDescent="0.3">
      <c r="A82" s="5" t="str">
        <f t="shared" si="180"/>
        <v>1</v>
      </c>
      <c r="B82" s="6">
        <f t="shared" ref="B82:B90" si="199">$B62</f>
        <v>2</v>
      </c>
      <c r="C82" s="7">
        <f t="shared" ref="C82:C90" si="200">$C62</f>
        <v>14007835</v>
      </c>
      <c r="D82" s="7" t="str">
        <f t="shared" ref="D82:D90" si="201">$D62</f>
        <v>SHROUD UPPER</v>
      </c>
      <c r="E82" s="6">
        <f t="shared" ref="E82:E90" si="202">$E62</f>
        <v>225</v>
      </c>
      <c r="F82" s="6">
        <f t="shared" ref="F82:F90" si="203">$F62</f>
        <v>125</v>
      </c>
      <c r="G82" s="6">
        <f t="shared" ref="G82:G90" si="204">$G62</f>
        <v>190</v>
      </c>
      <c r="H82" s="6">
        <f t="shared" ref="H82:H90" si="205">$H62</f>
        <v>96</v>
      </c>
      <c r="I82" s="6">
        <f t="shared" ref="I82:I90" si="206">$I62</f>
        <v>2</v>
      </c>
      <c r="J82" s="6">
        <f t="shared" ref="J82:J90" si="207">$J62</f>
        <v>192</v>
      </c>
      <c r="K82" s="6">
        <f t="shared" ref="K82:K90" si="208">$K62</f>
        <v>18</v>
      </c>
      <c r="L82" s="5" t="str">
        <f>L81</f>
        <v>Crate (600 x 400 x 170) mm</v>
      </c>
      <c r="M82" s="21">
        <f>VLOOKUP($L82,EQP!$A$2:$S$10,2,0)</f>
        <v>560</v>
      </c>
      <c r="N82" s="21">
        <f>VLOOKUP($L82,EQP!$A$2:$S$10,3,0)</f>
        <v>360</v>
      </c>
      <c r="O82" s="21">
        <f>VLOOKUP($L82,EQP!$A$2:$S$10,4,0)</f>
        <v>155</v>
      </c>
      <c r="P82" s="21">
        <f t="shared" si="181"/>
        <v>2</v>
      </c>
      <c r="Q82" s="21">
        <f t="shared" si="182"/>
        <v>2</v>
      </c>
      <c r="R82" s="21">
        <f t="shared" si="183"/>
        <v>0</v>
      </c>
      <c r="S82" s="21">
        <f t="shared" ref="S82:S90" si="209">$P82*$Q82</f>
        <v>4</v>
      </c>
      <c r="T82" s="21">
        <f t="shared" ref="T82:T90" si="210">R82</f>
        <v>0</v>
      </c>
      <c r="U82" s="21">
        <f t="shared" ref="U82:U90" si="211">S82*T82</f>
        <v>0</v>
      </c>
      <c r="V82" s="21">
        <f>VLOOKUP($L82,EQP!$A$2:$S$10,5,0)</f>
        <v>360</v>
      </c>
      <c r="W82" s="21">
        <f>VLOOKUP($L82,EQP!$A$2:$S$10,6,0)</f>
        <v>560</v>
      </c>
      <c r="X82" s="21">
        <f>VLOOKUP($L82,EQP!$A$2:$S$10,7,0)</f>
        <v>155</v>
      </c>
      <c r="Y82" s="21">
        <f t="shared" si="184"/>
        <v>1</v>
      </c>
      <c r="Z82" s="21">
        <f t="shared" si="185"/>
        <v>4</v>
      </c>
      <c r="AA82" s="21">
        <f t="shared" si="186"/>
        <v>0</v>
      </c>
      <c r="AB82" s="21">
        <f t="shared" ref="AB82:AB90" si="212">Y82*Z82</f>
        <v>4</v>
      </c>
      <c r="AC82" s="21">
        <f t="shared" ref="AC82:AC90" si="213">AA82</f>
        <v>0</v>
      </c>
      <c r="AD82" s="21">
        <f t="shared" ref="AD82:AD90" si="214">AB82*AC82</f>
        <v>0</v>
      </c>
      <c r="AE82" s="21">
        <f>VLOOKUP($L82,EQP!$A$2:$S$10,8,0)</f>
        <v>155</v>
      </c>
      <c r="AF82" s="21">
        <f>VLOOKUP($L82,EQP!$A$2:$S$10,9,0)</f>
        <v>560</v>
      </c>
      <c r="AG82" s="21">
        <f>VLOOKUP($L82,EQP!$A$2:$S$10,10,0)</f>
        <v>360</v>
      </c>
      <c r="AH82" s="21">
        <f t="shared" si="187"/>
        <v>0</v>
      </c>
      <c r="AI82" s="21">
        <f t="shared" si="188"/>
        <v>4</v>
      </c>
      <c r="AJ82" s="21">
        <f t="shared" si="189"/>
        <v>1</v>
      </c>
      <c r="AK82" s="21">
        <f t="shared" ref="AK82:AK90" si="215">AH82*AI82</f>
        <v>0</v>
      </c>
      <c r="AL82" s="21">
        <f t="shared" ref="AL82:AL90" si="216">AJ82</f>
        <v>1</v>
      </c>
      <c r="AM82" s="21">
        <f t="shared" ref="AM82:AM90" si="217">AK82*AL82</f>
        <v>0</v>
      </c>
      <c r="AN82" s="21">
        <f>VLOOKUP($L82,EQP!$A$2:$S$10,11,0)</f>
        <v>155</v>
      </c>
      <c r="AO82" s="21">
        <f>VLOOKUP($L82,EQP!$A$2:$S$10,12,0)</f>
        <v>360</v>
      </c>
      <c r="AP82" s="21">
        <f>VLOOKUP($L82,EQP!$A$2:$S$10,13,0)</f>
        <v>560</v>
      </c>
      <c r="AQ82" s="21">
        <f t="shared" si="190"/>
        <v>0</v>
      </c>
      <c r="AR82" s="21">
        <f t="shared" si="191"/>
        <v>2</v>
      </c>
      <c r="AS82" s="21">
        <f t="shared" si="192"/>
        <v>2</v>
      </c>
      <c r="AT82" s="21">
        <f t="shared" ref="AT82:AT90" si="218">AQ82*AR82</f>
        <v>0</v>
      </c>
      <c r="AU82" s="21">
        <f t="shared" ref="AU82:AU90" si="219">AS82</f>
        <v>2</v>
      </c>
      <c r="AV82" s="21">
        <f t="shared" ref="AV82:AV90" si="220">AT82*AU82</f>
        <v>0</v>
      </c>
      <c r="AW82" s="21">
        <f>VLOOKUP($L82,EQP!$A$2:$S$10,14,0)</f>
        <v>360</v>
      </c>
      <c r="AX82" s="21">
        <f>VLOOKUP($L82,EQP!$A$2:$S$10,15,0)</f>
        <v>155</v>
      </c>
      <c r="AY82" s="21">
        <f>VLOOKUP($L82,EQP!$A$2:$S$10,16,0)</f>
        <v>560</v>
      </c>
      <c r="AZ82" s="21">
        <f t="shared" si="193"/>
        <v>1</v>
      </c>
      <c r="BA82" s="21">
        <f t="shared" si="194"/>
        <v>1</v>
      </c>
      <c r="BB82" s="21">
        <f t="shared" si="195"/>
        <v>2</v>
      </c>
      <c r="BC82" s="21">
        <f t="shared" ref="BC82:BC90" si="221">AZ82*BA82</f>
        <v>1</v>
      </c>
      <c r="BD82" s="21">
        <f t="shared" ref="BD82:BD90" si="222">BB82</f>
        <v>2</v>
      </c>
      <c r="BE82" s="21">
        <f t="shared" ref="BE82:BE90" si="223">BC82*BD82</f>
        <v>2</v>
      </c>
      <c r="BF82" s="21">
        <f>VLOOKUP($L82,EQP!$A$2:$S$10,17,0)</f>
        <v>560</v>
      </c>
      <c r="BG82" s="21">
        <f>VLOOKUP($L82,EQP!$A$2:$S$10,18,0)</f>
        <v>155</v>
      </c>
      <c r="BH82" s="21">
        <f>VLOOKUP($L82,EQP!$A$2:$S$10,19,0)</f>
        <v>360</v>
      </c>
      <c r="BI82" s="21">
        <f t="shared" si="196"/>
        <v>2</v>
      </c>
      <c r="BJ82" s="21">
        <f t="shared" si="197"/>
        <v>1</v>
      </c>
      <c r="BK82" s="21">
        <f t="shared" si="198"/>
        <v>1</v>
      </c>
      <c r="BL82" s="21">
        <f t="shared" ref="BL82:BL90" si="224">BI82*BJ82</f>
        <v>2</v>
      </c>
      <c r="BM82" s="21">
        <f t="shared" ref="BM82:BM90" si="225">BK82</f>
        <v>1</v>
      </c>
      <c r="BN82" s="21">
        <f t="shared" ref="BN82:BN90" si="226">BL82*BM82</f>
        <v>2</v>
      </c>
    </row>
    <row r="83" spans="1:66" x14ac:dyDescent="0.3">
      <c r="A83" s="5" t="str">
        <f t="shared" si="180"/>
        <v>1</v>
      </c>
      <c r="B83" s="6">
        <f t="shared" si="199"/>
        <v>3</v>
      </c>
      <c r="C83" s="7">
        <f t="shared" si="200"/>
        <v>14007836</v>
      </c>
      <c r="D83" s="7" t="str">
        <f t="shared" si="201"/>
        <v>SHROUD LOWER</v>
      </c>
      <c r="E83" s="6">
        <f t="shared" si="202"/>
        <v>435</v>
      </c>
      <c r="F83" s="6">
        <f t="shared" si="203"/>
        <v>100</v>
      </c>
      <c r="G83" s="6">
        <f t="shared" si="204"/>
        <v>210</v>
      </c>
      <c r="H83" s="6">
        <f t="shared" si="205"/>
        <v>48</v>
      </c>
      <c r="I83" s="6">
        <f t="shared" si="206"/>
        <v>1</v>
      </c>
      <c r="J83" s="6">
        <f t="shared" si="207"/>
        <v>48</v>
      </c>
      <c r="K83" s="6">
        <f t="shared" si="208"/>
        <v>75</v>
      </c>
      <c r="L83" s="5" t="str">
        <f t="shared" ref="L83:L90" si="227">L82</f>
        <v>Crate (600 x 400 x 170) mm</v>
      </c>
      <c r="M83" s="21">
        <f>VLOOKUP($L83,EQP!$A$2:$S$10,2,0)</f>
        <v>560</v>
      </c>
      <c r="N83" s="21">
        <f>VLOOKUP($L83,EQP!$A$2:$S$10,3,0)</f>
        <v>360</v>
      </c>
      <c r="O83" s="21">
        <f>VLOOKUP($L83,EQP!$A$2:$S$10,4,0)</f>
        <v>155</v>
      </c>
      <c r="P83" s="21">
        <f t="shared" si="181"/>
        <v>1</v>
      </c>
      <c r="Q83" s="21">
        <f t="shared" si="182"/>
        <v>3</v>
      </c>
      <c r="R83" s="21">
        <f t="shared" si="183"/>
        <v>0</v>
      </c>
      <c r="S83" s="21">
        <f t="shared" si="209"/>
        <v>3</v>
      </c>
      <c r="T83" s="21">
        <f t="shared" si="210"/>
        <v>0</v>
      </c>
      <c r="U83" s="21">
        <f t="shared" si="211"/>
        <v>0</v>
      </c>
      <c r="V83" s="21">
        <f>VLOOKUP($L83,EQP!$A$2:$S$10,5,0)</f>
        <v>360</v>
      </c>
      <c r="W83" s="21">
        <f>VLOOKUP($L83,EQP!$A$2:$S$10,6,0)</f>
        <v>560</v>
      </c>
      <c r="X83" s="21">
        <f>VLOOKUP($L83,EQP!$A$2:$S$10,7,0)</f>
        <v>155</v>
      </c>
      <c r="Y83" s="21">
        <f t="shared" si="184"/>
        <v>0</v>
      </c>
      <c r="Z83" s="21">
        <f t="shared" si="185"/>
        <v>5</v>
      </c>
      <c r="AA83" s="21">
        <f t="shared" si="186"/>
        <v>0</v>
      </c>
      <c r="AB83" s="21">
        <f t="shared" si="212"/>
        <v>0</v>
      </c>
      <c r="AC83" s="21">
        <f t="shared" si="213"/>
        <v>0</v>
      </c>
      <c r="AD83" s="21">
        <f t="shared" si="214"/>
        <v>0</v>
      </c>
      <c r="AE83" s="21">
        <f>VLOOKUP($L83,EQP!$A$2:$S$10,8,0)</f>
        <v>155</v>
      </c>
      <c r="AF83" s="21">
        <f>VLOOKUP($L83,EQP!$A$2:$S$10,9,0)</f>
        <v>560</v>
      </c>
      <c r="AG83" s="21">
        <f>VLOOKUP($L83,EQP!$A$2:$S$10,10,0)</f>
        <v>360</v>
      </c>
      <c r="AH83" s="21">
        <f t="shared" si="187"/>
        <v>0</v>
      </c>
      <c r="AI83" s="21">
        <f t="shared" si="188"/>
        <v>5</v>
      </c>
      <c r="AJ83" s="21">
        <f t="shared" si="189"/>
        <v>1</v>
      </c>
      <c r="AK83" s="21">
        <f t="shared" si="215"/>
        <v>0</v>
      </c>
      <c r="AL83" s="21">
        <f t="shared" si="216"/>
        <v>1</v>
      </c>
      <c r="AM83" s="21">
        <f t="shared" si="217"/>
        <v>0</v>
      </c>
      <c r="AN83" s="21">
        <f>VLOOKUP($L83,EQP!$A$2:$S$10,11,0)</f>
        <v>155</v>
      </c>
      <c r="AO83" s="21">
        <f>VLOOKUP($L83,EQP!$A$2:$S$10,12,0)</f>
        <v>360</v>
      </c>
      <c r="AP83" s="21">
        <f>VLOOKUP($L83,EQP!$A$2:$S$10,13,0)</f>
        <v>560</v>
      </c>
      <c r="AQ83" s="21">
        <f t="shared" si="190"/>
        <v>0</v>
      </c>
      <c r="AR83" s="21">
        <f t="shared" si="191"/>
        <v>3</v>
      </c>
      <c r="AS83" s="21">
        <f t="shared" si="192"/>
        <v>2</v>
      </c>
      <c r="AT83" s="21">
        <f t="shared" si="218"/>
        <v>0</v>
      </c>
      <c r="AU83" s="21">
        <f t="shared" si="219"/>
        <v>2</v>
      </c>
      <c r="AV83" s="21">
        <f t="shared" si="220"/>
        <v>0</v>
      </c>
      <c r="AW83" s="21">
        <f>VLOOKUP($L83,EQP!$A$2:$S$10,14,0)</f>
        <v>360</v>
      </c>
      <c r="AX83" s="21">
        <f>VLOOKUP($L83,EQP!$A$2:$S$10,15,0)</f>
        <v>155</v>
      </c>
      <c r="AY83" s="21">
        <f>VLOOKUP($L83,EQP!$A$2:$S$10,16,0)</f>
        <v>560</v>
      </c>
      <c r="AZ83" s="21">
        <f t="shared" si="193"/>
        <v>0</v>
      </c>
      <c r="BA83" s="21">
        <f t="shared" si="194"/>
        <v>1</v>
      </c>
      <c r="BB83" s="21">
        <f t="shared" si="195"/>
        <v>2</v>
      </c>
      <c r="BC83" s="21">
        <f t="shared" si="221"/>
        <v>0</v>
      </c>
      <c r="BD83" s="21">
        <f t="shared" si="222"/>
        <v>2</v>
      </c>
      <c r="BE83" s="21">
        <f t="shared" si="223"/>
        <v>0</v>
      </c>
      <c r="BF83" s="21">
        <f>VLOOKUP($L83,EQP!$A$2:$S$10,17,0)</f>
        <v>560</v>
      </c>
      <c r="BG83" s="21">
        <f>VLOOKUP($L83,EQP!$A$2:$S$10,18,0)</f>
        <v>155</v>
      </c>
      <c r="BH83" s="21">
        <f>VLOOKUP($L83,EQP!$A$2:$S$10,19,0)</f>
        <v>360</v>
      </c>
      <c r="BI83" s="21">
        <f t="shared" si="196"/>
        <v>1</v>
      </c>
      <c r="BJ83" s="21">
        <f t="shared" si="197"/>
        <v>1</v>
      </c>
      <c r="BK83" s="21">
        <f t="shared" si="198"/>
        <v>1</v>
      </c>
      <c r="BL83" s="21">
        <f t="shared" si="224"/>
        <v>1</v>
      </c>
      <c r="BM83" s="21">
        <f t="shared" si="225"/>
        <v>1</v>
      </c>
      <c r="BN83" s="21">
        <f t="shared" si="226"/>
        <v>1</v>
      </c>
    </row>
    <row r="84" spans="1:66" x14ac:dyDescent="0.3">
      <c r="A84" s="5" t="str">
        <f t="shared" si="180"/>
        <v>1</v>
      </c>
      <c r="B84" s="6">
        <f t="shared" si="199"/>
        <v>4</v>
      </c>
      <c r="C84" s="7">
        <f t="shared" si="200"/>
        <v>14007837</v>
      </c>
      <c r="D84" s="7" t="str">
        <f t="shared" si="201"/>
        <v>CLUSTER BEZEL LOWER ASSY</v>
      </c>
      <c r="E84" s="6">
        <f t="shared" si="202"/>
        <v>365</v>
      </c>
      <c r="F84" s="6">
        <f t="shared" si="203"/>
        <v>63</v>
      </c>
      <c r="G84" s="6">
        <f t="shared" si="204"/>
        <v>225</v>
      </c>
      <c r="H84" s="6">
        <f t="shared" si="205"/>
        <v>96</v>
      </c>
      <c r="I84" s="6">
        <f t="shared" si="206"/>
        <v>1</v>
      </c>
      <c r="J84" s="6">
        <f t="shared" si="207"/>
        <v>96</v>
      </c>
      <c r="K84" s="6">
        <f t="shared" si="208"/>
        <v>38</v>
      </c>
      <c r="L84" s="5" t="str">
        <f t="shared" si="227"/>
        <v>Crate (600 x 400 x 170) mm</v>
      </c>
      <c r="M84" s="21">
        <f>VLOOKUP($L84,EQP!$A$2:$S$10,2,0)</f>
        <v>560</v>
      </c>
      <c r="N84" s="21">
        <f>VLOOKUP($L84,EQP!$A$2:$S$10,3,0)</f>
        <v>360</v>
      </c>
      <c r="O84" s="21">
        <f>VLOOKUP($L84,EQP!$A$2:$S$10,4,0)</f>
        <v>155</v>
      </c>
      <c r="P84" s="21">
        <f t="shared" si="181"/>
        <v>1</v>
      </c>
      <c r="Q84" s="21">
        <f t="shared" si="182"/>
        <v>5</v>
      </c>
      <c r="R84" s="21">
        <f t="shared" si="183"/>
        <v>0</v>
      </c>
      <c r="S84" s="21">
        <f t="shared" si="209"/>
        <v>5</v>
      </c>
      <c r="T84" s="21">
        <f t="shared" si="210"/>
        <v>0</v>
      </c>
      <c r="U84" s="21">
        <f t="shared" si="211"/>
        <v>0</v>
      </c>
      <c r="V84" s="21">
        <f>VLOOKUP($L84,EQP!$A$2:$S$10,5,0)</f>
        <v>360</v>
      </c>
      <c r="W84" s="21">
        <f>VLOOKUP($L84,EQP!$A$2:$S$10,6,0)</f>
        <v>560</v>
      </c>
      <c r="X84" s="21">
        <f>VLOOKUP($L84,EQP!$A$2:$S$10,7,0)</f>
        <v>155</v>
      </c>
      <c r="Y84" s="21">
        <f t="shared" si="184"/>
        <v>0</v>
      </c>
      <c r="Z84" s="21">
        <f t="shared" si="185"/>
        <v>8</v>
      </c>
      <c r="AA84" s="21">
        <f t="shared" si="186"/>
        <v>0</v>
      </c>
      <c r="AB84" s="21">
        <f t="shared" si="212"/>
        <v>0</v>
      </c>
      <c r="AC84" s="21">
        <f t="shared" si="213"/>
        <v>0</v>
      </c>
      <c r="AD84" s="21">
        <f t="shared" si="214"/>
        <v>0</v>
      </c>
      <c r="AE84" s="21">
        <f>VLOOKUP($L84,EQP!$A$2:$S$10,8,0)</f>
        <v>155</v>
      </c>
      <c r="AF84" s="21">
        <f>VLOOKUP($L84,EQP!$A$2:$S$10,9,0)</f>
        <v>560</v>
      </c>
      <c r="AG84" s="21">
        <f>VLOOKUP($L84,EQP!$A$2:$S$10,10,0)</f>
        <v>360</v>
      </c>
      <c r="AH84" s="21">
        <f t="shared" si="187"/>
        <v>0</v>
      </c>
      <c r="AI84" s="21">
        <f t="shared" si="188"/>
        <v>8</v>
      </c>
      <c r="AJ84" s="21">
        <f t="shared" si="189"/>
        <v>1</v>
      </c>
      <c r="AK84" s="21">
        <f t="shared" si="215"/>
        <v>0</v>
      </c>
      <c r="AL84" s="21">
        <f t="shared" si="216"/>
        <v>1</v>
      </c>
      <c r="AM84" s="21">
        <f t="shared" si="217"/>
        <v>0</v>
      </c>
      <c r="AN84" s="21">
        <f>VLOOKUP($L84,EQP!$A$2:$S$10,11,0)</f>
        <v>155</v>
      </c>
      <c r="AO84" s="21">
        <f>VLOOKUP($L84,EQP!$A$2:$S$10,12,0)</f>
        <v>360</v>
      </c>
      <c r="AP84" s="21">
        <f>VLOOKUP($L84,EQP!$A$2:$S$10,13,0)</f>
        <v>560</v>
      </c>
      <c r="AQ84" s="21">
        <f t="shared" si="190"/>
        <v>0</v>
      </c>
      <c r="AR84" s="21">
        <f t="shared" si="191"/>
        <v>5</v>
      </c>
      <c r="AS84" s="21">
        <f t="shared" si="192"/>
        <v>2</v>
      </c>
      <c r="AT84" s="21">
        <f t="shared" si="218"/>
        <v>0</v>
      </c>
      <c r="AU84" s="21">
        <f t="shared" si="219"/>
        <v>2</v>
      </c>
      <c r="AV84" s="21">
        <f t="shared" si="220"/>
        <v>0</v>
      </c>
      <c r="AW84" s="21">
        <f>VLOOKUP($L84,EQP!$A$2:$S$10,14,0)</f>
        <v>360</v>
      </c>
      <c r="AX84" s="21">
        <f>VLOOKUP($L84,EQP!$A$2:$S$10,15,0)</f>
        <v>155</v>
      </c>
      <c r="AY84" s="21">
        <f>VLOOKUP($L84,EQP!$A$2:$S$10,16,0)</f>
        <v>560</v>
      </c>
      <c r="AZ84" s="21">
        <f t="shared" si="193"/>
        <v>0</v>
      </c>
      <c r="BA84" s="21">
        <f t="shared" si="194"/>
        <v>2</v>
      </c>
      <c r="BB84" s="21">
        <f t="shared" si="195"/>
        <v>2</v>
      </c>
      <c r="BC84" s="21">
        <f t="shared" si="221"/>
        <v>0</v>
      </c>
      <c r="BD84" s="21">
        <f t="shared" si="222"/>
        <v>2</v>
      </c>
      <c r="BE84" s="21">
        <f t="shared" si="223"/>
        <v>0</v>
      </c>
      <c r="BF84" s="21">
        <f>VLOOKUP($L84,EQP!$A$2:$S$10,17,0)</f>
        <v>560</v>
      </c>
      <c r="BG84" s="21">
        <f>VLOOKUP($L84,EQP!$A$2:$S$10,18,0)</f>
        <v>155</v>
      </c>
      <c r="BH84" s="21">
        <f>VLOOKUP($L84,EQP!$A$2:$S$10,19,0)</f>
        <v>360</v>
      </c>
      <c r="BI84" s="21">
        <f t="shared" si="196"/>
        <v>1</v>
      </c>
      <c r="BJ84" s="21">
        <f t="shared" si="197"/>
        <v>2</v>
      </c>
      <c r="BK84" s="21">
        <f t="shared" si="198"/>
        <v>1</v>
      </c>
      <c r="BL84" s="21">
        <f t="shared" si="224"/>
        <v>2</v>
      </c>
      <c r="BM84" s="21">
        <f t="shared" si="225"/>
        <v>1</v>
      </c>
      <c r="BN84" s="21">
        <f t="shared" si="226"/>
        <v>2</v>
      </c>
    </row>
    <row r="85" spans="1:66" x14ac:dyDescent="0.3">
      <c r="A85" s="5" t="str">
        <f t="shared" si="180"/>
        <v>1</v>
      </c>
      <c r="B85" s="6">
        <f t="shared" si="199"/>
        <v>5</v>
      </c>
      <c r="C85" s="7">
        <f t="shared" si="200"/>
        <v>14007838</v>
      </c>
      <c r="D85" s="7" t="str">
        <f t="shared" si="201"/>
        <v>DRIVER SIDE BOOSTER COVER ASSY</v>
      </c>
      <c r="E85" s="6">
        <f t="shared" si="202"/>
        <v>410</v>
      </c>
      <c r="F85" s="6">
        <f t="shared" si="203"/>
        <v>280</v>
      </c>
      <c r="G85" s="6">
        <f t="shared" si="204"/>
        <v>160</v>
      </c>
      <c r="H85" s="6">
        <f t="shared" si="205"/>
        <v>16</v>
      </c>
      <c r="I85" s="6">
        <f t="shared" si="206"/>
        <v>1</v>
      </c>
      <c r="J85" s="6">
        <f t="shared" si="207"/>
        <v>16</v>
      </c>
      <c r="K85" s="6">
        <f t="shared" si="208"/>
        <v>202</v>
      </c>
      <c r="L85" s="5" t="str">
        <f t="shared" si="227"/>
        <v>Crate (600 x 400 x 170) mm</v>
      </c>
      <c r="M85" s="21">
        <f>VLOOKUP($L85,EQP!$A$2:$S$10,2,0)</f>
        <v>560</v>
      </c>
      <c r="N85" s="21">
        <f>VLOOKUP($L85,EQP!$A$2:$S$10,3,0)</f>
        <v>360</v>
      </c>
      <c r="O85" s="21">
        <f>VLOOKUP($L85,EQP!$A$2:$S$10,4,0)</f>
        <v>155</v>
      </c>
      <c r="P85" s="21">
        <f t="shared" si="181"/>
        <v>1</v>
      </c>
      <c r="Q85" s="21">
        <f t="shared" si="182"/>
        <v>1</v>
      </c>
      <c r="R85" s="21">
        <f t="shared" si="183"/>
        <v>0</v>
      </c>
      <c r="S85" s="21">
        <f t="shared" si="209"/>
        <v>1</v>
      </c>
      <c r="T85" s="21">
        <f t="shared" si="210"/>
        <v>0</v>
      </c>
      <c r="U85" s="21">
        <f t="shared" si="211"/>
        <v>0</v>
      </c>
      <c r="V85" s="21">
        <f>VLOOKUP($L85,EQP!$A$2:$S$10,5,0)</f>
        <v>360</v>
      </c>
      <c r="W85" s="21">
        <f>VLOOKUP($L85,EQP!$A$2:$S$10,6,0)</f>
        <v>560</v>
      </c>
      <c r="X85" s="21">
        <f>VLOOKUP($L85,EQP!$A$2:$S$10,7,0)</f>
        <v>155</v>
      </c>
      <c r="Y85" s="21">
        <f t="shared" si="184"/>
        <v>0</v>
      </c>
      <c r="Z85" s="21">
        <f t="shared" si="185"/>
        <v>1</v>
      </c>
      <c r="AA85" s="21">
        <f t="shared" si="186"/>
        <v>0</v>
      </c>
      <c r="AB85" s="21">
        <f t="shared" si="212"/>
        <v>0</v>
      </c>
      <c r="AC85" s="21">
        <f t="shared" si="213"/>
        <v>0</v>
      </c>
      <c r="AD85" s="21">
        <f t="shared" si="214"/>
        <v>0</v>
      </c>
      <c r="AE85" s="21">
        <f>VLOOKUP($L85,EQP!$A$2:$S$10,8,0)</f>
        <v>155</v>
      </c>
      <c r="AF85" s="21">
        <f>VLOOKUP($L85,EQP!$A$2:$S$10,9,0)</f>
        <v>560</v>
      </c>
      <c r="AG85" s="21">
        <f>VLOOKUP($L85,EQP!$A$2:$S$10,10,0)</f>
        <v>360</v>
      </c>
      <c r="AH85" s="21">
        <f t="shared" si="187"/>
        <v>0</v>
      </c>
      <c r="AI85" s="21">
        <f t="shared" si="188"/>
        <v>1</v>
      </c>
      <c r="AJ85" s="21">
        <f t="shared" si="189"/>
        <v>2</v>
      </c>
      <c r="AK85" s="21">
        <f t="shared" si="215"/>
        <v>0</v>
      </c>
      <c r="AL85" s="21">
        <f t="shared" si="216"/>
        <v>2</v>
      </c>
      <c r="AM85" s="21">
        <f t="shared" si="217"/>
        <v>0</v>
      </c>
      <c r="AN85" s="21">
        <f>VLOOKUP($L85,EQP!$A$2:$S$10,11,0)</f>
        <v>155</v>
      </c>
      <c r="AO85" s="21">
        <f>VLOOKUP($L85,EQP!$A$2:$S$10,12,0)</f>
        <v>360</v>
      </c>
      <c r="AP85" s="21">
        <f>VLOOKUP($L85,EQP!$A$2:$S$10,13,0)</f>
        <v>560</v>
      </c>
      <c r="AQ85" s="21">
        <f t="shared" si="190"/>
        <v>0</v>
      </c>
      <c r="AR85" s="21">
        <f t="shared" si="191"/>
        <v>1</v>
      </c>
      <c r="AS85" s="21">
        <f t="shared" si="192"/>
        <v>3</v>
      </c>
      <c r="AT85" s="21">
        <f t="shared" si="218"/>
        <v>0</v>
      </c>
      <c r="AU85" s="21">
        <f t="shared" si="219"/>
        <v>3</v>
      </c>
      <c r="AV85" s="21">
        <f t="shared" si="220"/>
        <v>0</v>
      </c>
      <c r="AW85" s="21">
        <f>VLOOKUP($L85,EQP!$A$2:$S$10,14,0)</f>
        <v>360</v>
      </c>
      <c r="AX85" s="21">
        <f>VLOOKUP($L85,EQP!$A$2:$S$10,15,0)</f>
        <v>155</v>
      </c>
      <c r="AY85" s="21">
        <f>VLOOKUP($L85,EQP!$A$2:$S$10,16,0)</f>
        <v>560</v>
      </c>
      <c r="AZ85" s="21">
        <f t="shared" si="193"/>
        <v>0</v>
      </c>
      <c r="BA85" s="21">
        <f t="shared" si="194"/>
        <v>0</v>
      </c>
      <c r="BB85" s="21">
        <f t="shared" si="195"/>
        <v>3</v>
      </c>
      <c r="BC85" s="21">
        <f t="shared" si="221"/>
        <v>0</v>
      </c>
      <c r="BD85" s="21">
        <f t="shared" si="222"/>
        <v>3</v>
      </c>
      <c r="BE85" s="21">
        <f t="shared" si="223"/>
        <v>0</v>
      </c>
      <c r="BF85" s="21">
        <f>VLOOKUP($L85,EQP!$A$2:$S$10,17,0)</f>
        <v>560</v>
      </c>
      <c r="BG85" s="21">
        <f>VLOOKUP($L85,EQP!$A$2:$S$10,18,0)</f>
        <v>155</v>
      </c>
      <c r="BH85" s="21">
        <f>VLOOKUP($L85,EQP!$A$2:$S$10,19,0)</f>
        <v>360</v>
      </c>
      <c r="BI85" s="21">
        <f t="shared" si="196"/>
        <v>1</v>
      </c>
      <c r="BJ85" s="21">
        <f t="shared" si="197"/>
        <v>0</v>
      </c>
      <c r="BK85" s="21">
        <f t="shared" si="198"/>
        <v>2</v>
      </c>
      <c r="BL85" s="21">
        <f t="shared" si="224"/>
        <v>0</v>
      </c>
      <c r="BM85" s="21">
        <f t="shared" si="225"/>
        <v>2</v>
      </c>
      <c r="BN85" s="21">
        <f t="shared" si="226"/>
        <v>0</v>
      </c>
    </row>
    <row r="86" spans="1:66" x14ac:dyDescent="0.3">
      <c r="A86" s="5" t="str">
        <f t="shared" si="180"/>
        <v>1</v>
      </c>
      <c r="B86" s="6">
        <f t="shared" si="199"/>
        <v>6</v>
      </c>
      <c r="C86" s="7">
        <f t="shared" si="200"/>
        <v>14007839</v>
      </c>
      <c r="D86" s="7" t="str">
        <f t="shared" si="201"/>
        <v>PASSENGER SIDE KNEE COVER RHD ASSY</v>
      </c>
      <c r="E86" s="6">
        <f t="shared" si="202"/>
        <v>380</v>
      </c>
      <c r="F86" s="6">
        <f t="shared" si="203"/>
        <v>110</v>
      </c>
      <c r="G86" s="6">
        <f t="shared" si="204"/>
        <v>295</v>
      </c>
      <c r="H86" s="6">
        <f t="shared" si="205"/>
        <v>64</v>
      </c>
      <c r="I86" s="6">
        <f t="shared" si="206"/>
        <v>1</v>
      </c>
      <c r="J86" s="6">
        <f t="shared" si="207"/>
        <v>64</v>
      </c>
      <c r="K86" s="6">
        <f t="shared" si="208"/>
        <v>50</v>
      </c>
      <c r="L86" s="5" t="str">
        <f t="shared" si="227"/>
        <v>Crate (600 x 400 x 170) mm</v>
      </c>
      <c r="M86" s="21">
        <f>VLOOKUP($L86,EQP!$A$2:$S$10,2,0)</f>
        <v>560</v>
      </c>
      <c r="N86" s="21">
        <f>VLOOKUP($L86,EQP!$A$2:$S$10,3,0)</f>
        <v>360</v>
      </c>
      <c r="O86" s="21">
        <f>VLOOKUP($L86,EQP!$A$2:$S$10,4,0)</f>
        <v>155</v>
      </c>
      <c r="P86" s="21">
        <f t="shared" si="181"/>
        <v>1</v>
      </c>
      <c r="Q86" s="21">
        <f t="shared" si="182"/>
        <v>3</v>
      </c>
      <c r="R86" s="21">
        <f t="shared" si="183"/>
        <v>0</v>
      </c>
      <c r="S86" s="21">
        <f t="shared" si="209"/>
        <v>3</v>
      </c>
      <c r="T86" s="21">
        <f t="shared" si="210"/>
        <v>0</v>
      </c>
      <c r="U86" s="21">
        <f t="shared" si="211"/>
        <v>0</v>
      </c>
      <c r="V86" s="21">
        <f>VLOOKUP($L86,EQP!$A$2:$S$10,5,0)</f>
        <v>360</v>
      </c>
      <c r="W86" s="21">
        <f>VLOOKUP($L86,EQP!$A$2:$S$10,6,0)</f>
        <v>560</v>
      </c>
      <c r="X86" s="21">
        <f>VLOOKUP($L86,EQP!$A$2:$S$10,7,0)</f>
        <v>155</v>
      </c>
      <c r="Y86" s="21">
        <f t="shared" si="184"/>
        <v>0</v>
      </c>
      <c r="Z86" s="21">
        <f t="shared" si="185"/>
        <v>4</v>
      </c>
      <c r="AA86" s="21">
        <f t="shared" si="186"/>
        <v>0</v>
      </c>
      <c r="AB86" s="21">
        <f t="shared" si="212"/>
        <v>0</v>
      </c>
      <c r="AC86" s="21">
        <f t="shared" si="213"/>
        <v>0</v>
      </c>
      <c r="AD86" s="21">
        <f t="shared" si="214"/>
        <v>0</v>
      </c>
      <c r="AE86" s="21">
        <f>VLOOKUP($L86,EQP!$A$2:$S$10,8,0)</f>
        <v>155</v>
      </c>
      <c r="AF86" s="21">
        <f>VLOOKUP($L86,EQP!$A$2:$S$10,9,0)</f>
        <v>560</v>
      </c>
      <c r="AG86" s="21">
        <f>VLOOKUP($L86,EQP!$A$2:$S$10,10,0)</f>
        <v>360</v>
      </c>
      <c r="AH86" s="21">
        <f t="shared" si="187"/>
        <v>0</v>
      </c>
      <c r="AI86" s="21">
        <f t="shared" si="188"/>
        <v>4</v>
      </c>
      <c r="AJ86" s="21">
        <f t="shared" si="189"/>
        <v>1</v>
      </c>
      <c r="AK86" s="21">
        <f t="shared" si="215"/>
        <v>0</v>
      </c>
      <c r="AL86" s="21">
        <f t="shared" si="216"/>
        <v>1</v>
      </c>
      <c r="AM86" s="21">
        <f t="shared" si="217"/>
        <v>0</v>
      </c>
      <c r="AN86" s="21">
        <f>VLOOKUP($L86,EQP!$A$2:$S$10,11,0)</f>
        <v>155</v>
      </c>
      <c r="AO86" s="21">
        <f>VLOOKUP($L86,EQP!$A$2:$S$10,12,0)</f>
        <v>360</v>
      </c>
      <c r="AP86" s="21">
        <f>VLOOKUP($L86,EQP!$A$2:$S$10,13,0)</f>
        <v>560</v>
      </c>
      <c r="AQ86" s="21">
        <f t="shared" si="190"/>
        <v>0</v>
      </c>
      <c r="AR86" s="21">
        <f t="shared" si="191"/>
        <v>3</v>
      </c>
      <c r="AS86" s="21">
        <f t="shared" si="192"/>
        <v>1</v>
      </c>
      <c r="AT86" s="21">
        <f t="shared" si="218"/>
        <v>0</v>
      </c>
      <c r="AU86" s="21">
        <f t="shared" si="219"/>
        <v>1</v>
      </c>
      <c r="AV86" s="21">
        <f t="shared" si="220"/>
        <v>0</v>
      </c>
      <c r="AW86" s="21">
        <f>VLOOKUP($L86,EQP!$A$2:$S$10,14,0)</f>
        <v>360</v>
      </c>
      <c r="AX86" s="21">
        <f>VLOOKUP($L86,EQP!$A$2:$S$10,15,0)</f>
        <v>155</v>
      </c>
      <c r="AY86" s="21">
        <f>VLOOKUP($L86,EQP!$A$2:$S$10,16,0)</f>
        <v>560</v>
      </c>
      <c r="AZ86" s="21">
        <f t="shared" si="193"/>
        <v>0</v>
      </c>
      <c r="BA86" s="21">
        <f t="shared" si="194"/>
        <v>1</v>
      </c>
      <c r="BB86" s="21">
        <f t="shared" si="195"/>
        <v>1</v>
      </c>
      <c r="BC86" s="21">
        <f t="shared" si="221"/>
        <v>0</v>
      </c>
      <c r="BD86" s="21">
        <f t="shared" si="222"/>
        <v>1</v>
      </c>
      <c r="BE86" s="21">
        <f t="shared" si="223"/>
        <v>0</v>
      </c>
      <c r="BF86" s="21">
        <f>VLOOKUP($L86,EQP!$A$2:$S$10,17,0)</f>
        <v>560</v>
      </c>
      <c r="BG86" s="21">
        <f>VLOOKUP($L86,EQP!$A$2:$S$10,18,0)</f>
        <v>155</v>
      </c>
      <c r="BH86" s="21">
        <f>VLOOKUP($L86,EQP!$A$2:$S$10,19,0)</f>
        <v>360</v>
      </c>
      <c r="BI86" s="21">
        <f t="shared" si="196"/>
        <v>1</v>
      </c>
      <c r="BJ86" s="21">
        <f t="shared" si="197"/>
        <v>1</v>
      </c>
      <c r="BK86" s="21">
        <f t="shared" si="198"/>
        <v>1</v>
      </c>
      <c r="BL86" s="21">
        <f t="shared" si="224"/>
        <v>1</v>
      </c>
      <c r="BM86" s="21">
        <f t="shared" si="225"/>
        <v>1</v>
      </c>
      <c r="BN86" s="21">
        <f t="shared" si="226"/>
        <v>1</v>
      </c>
    </row>
    <row r="87" spans="1:66" x14ac:dyDescent="0.3">
      <c r="A87" s="5" t="str">
        <f t="shared" si="180"/>
        <v>1</v>
      </c>
      <c r="B87" s="6">
        <f t="shared" si="199"/>
        <v>7</v>
      </c>
      <c r="C87" s="7">
        <f t="shared" si="200"/>
        <v>14007840</v>
      </c>
      <c r="D87" s="7" t="str">
        <f t="shared" si="201"/>
        <v>END CAP LH ASSY</v>
      </c>
      <c r="E87" s="6">
        <f t="shared" si="202"/>
        <v>130</v>
      </c>
      <c r="F87" s="6">
        <f t="shared" si="203"/>
        <v>50</v>
      </c>
      <c r="G87" s="6">
        <f t="shared" si="204"/>
        <v>385</v>
      </c>
      <c r="H87" s="6">
        <f t="shared" si="205"/>
        <v>192</v>
      </c>
      <c r="I87" s="6">
        <f t="shared" si="206"/>
        <v>1</v>
      </c>
      <c r="J87" s="6">
        <f t="shared" si="207"/>
        <v>192</v>
      </c>
      <c r="K87" s="6">
        <f t="shared" si="208"/>
        <v>18</v>
      </c>
      <c r="L87" s="5" t="str">
        <f t="shared" si="227"/>
        <v>Crate (600 x 400 x 170) mm</v>
      </c>
      <c r="M87" s="21">
        <f>VLOOKUP($L87,EQP!$A$2:$S$10,2,0)</f>
        <v>560</v>
      </c>
      <c r="N87" s="21">
        <f>VLOOKUP($L87,EQP!$A$2:$S$10,3,0)</f>
        <v>360</v>
      </c>
      <c r="O87" s="21">
        <f>VLOOKUP($L87,EQP!$A$2:$S$10,4,0)</f>
        <v>155</v>
      </c>
      <c r="P87" s="21">
        <f t="shared" si="181"/>
        <v>4</v>
      </c>
      <c r="Q87" s="21">
        <f t="shared" si="182"/>
        <v>6</v>
      </c>
      <c r="R87" s="21">
        <f t="shared" si="183"/>
        <v>0</v>
      </c>
      <c r="S87" s="21">
        <f t="shared" si="209"/>
        <v>24</v>
      </c>
      <c r="T87" s="21">
        <f t="shared" si="210"/>
        <v>0</v>
      </c>
      <c r="U87" s="21">
        <f t="shared" si="211"/>
        <v>0</v>
      </c>
      <c r="V87" s="21">
        <f>VLOOKUP($L87,EQP!$A$2:$S$10,5,0)</f>
        <v>360</v>
      </c>
      <c r="W87" s="21">
        <f>VLOOKUP($L87,EQP!$A$2:$S$10,6,0)</f>
        <v>560</v>
      </c>
      <c r="X87" s="21">
        <f>VLOOKUP($L87,EQP!$A$2:$S$10,7,0)</f>
        <v>155</v>
      </c>
      <c r="Y87" s="21">
        <f t="shared" si="184"/>
        <v>2</v>
      </c>
      <c r="Z87" s="21">
        <f t="shared" si="185"/>
        <v>10</v>
      </c>
      <c r="AA87" s="21">
        <f t="shared" si="186"/>
        <v>0</v>
      </c>
      <c r="AB87" s="21">
        <f t="shared" si="212"/>
        <v>20</v>
      </c>
      <c r="AC87" s="21">
        <f t="shared" si="213"/>
        <v>0</v>
      </c>
      <c r="AD87" s="21">
        <f t="shared" si="214"/>
        <v>0</v>
      </c>
      <c r="AE87" s="21">
        <f>VLOOKUP($L87,EQP!$A$2:$S$10,8,0)</f>
        <v>155</v>
      </c>
      <c r="AF87" s="21">
        <f>VLOOKUP($L87,EQP!$A$2:$S$10,9,0)</f>
        <v>560</v>
      </c>
      <c r="AG87" s="21">
        <f>VLOOKUP($L87,EQP!$A$2:$S$10,10,0)</f>
        <v>360</v>
      </c>
      <c r="AH87" s="21">
        <f t="shared" si="187"/>
        <v>1</v>
      </c>
      <c r="AI87" s="21">
        <f t="shared" si="188"/>
        <v>10</v>
      </c>
      <c r="AJ87" s="21">
        <f t="shared" si="189"/>
        <v>0</v>
      </c>
      <c r="AK87" s="21">
        <f t="shared" si="215"/>
        <v>10</v>
      </c>
      <c r="AL87" s="21">
        <f t="shared" si="216"/>
        <v>0</v>
      </c>
      <c r="AM87" s="21">
        <f t="shared" si="217"/>
        <v>0</v>
      </c>
      <c r="AN87" s="21">
        <f>VLOOKUP($L87,EQP!$A$2:$S$10,11,0)</f>
        <v>155</v>
      </c>
      <c r="AO87" s="21">
        <f>VLOOKUP($L87,EQP!$A$2:$S$10,12,0)</f>
        <v>360</v>
      </c>
      <c r="AP87" s="21">
        <f>VLOOKUP($L87,EQP!$A$2:$S$10,13,0)</f>
        <v>560</v>
      </c>
      <c r="AQ87" s="21">
        <f t="shared" si="190"/>
        <v>1</v>
      </c>
      <c r="AR87" s="21">
        <f t="shared" si="191"/>
        <v>6</v>
      </c>
      <c r="AS87" s="21">
        <f t="shared" si="192"/>
        <v>1</v>
      </c>
      <c r="AT87" s="21">
        <f t="shared" si="218"/>
        <v>6</v>
      </c>
      <c r="AU87" s="21">
        <f t="shared" si="219"/>
        <v>1</v>
      </c>
      <c r="AV87" s="21">
        <f t="shared" si="220"/>
        <v>6</v>
      </c>
      <c r="AW87" s="21">
        <f>VLOOKUP($L87,EQP!$A$2:$S$10,14,0)</f>
        <v>360</v>
      </c>
      <c r="AX87" s="21">
        <f>VLOOKUP($L87,EQP!$A$2:$S$10,15,0)</f>
        <v>155</v>
      </c>
      <c r="AY87" s="21">
        <f>VLOOKUP($L87,EQP!$A$2:$S$10,16,0)</f>
        <v>560</v>
      </c>
      <c r="AZ87" s="21">
        <f t="shared" si="193"/>
        <v>2</v>
      </c>
      <c r="BA87" s="21">
        <f t="shared" si="194"/>
        <v>2</v>
      </c>
      <c r="BB87" s="21">
        <f t="shared" si="195"/>
        <v>1</v>
      </c>
      <c r="BC87" s="21">
        <f t="shared" si="221"/>
        <v>4</v>
      </c>
      <c r="BD87" s="21">
        <f t="shared" si="222"/>
        <v>1</v>
      </c>
      <c r="BE87" s="21">
        <f t="shared" si="223"/>
        <v>4</v>
      </c>
      <c r="BF87" s="21">
        <f>VLOOKUP($L87,EQP!$A$2:$S$10,17,0)</f>
        <v>560</v>
      </c>
      <c r="BG87" s="21">
        <f>VLOOKUP($L87,EQP!$A$2:$S$10,18,0)</f>
        <v>155</v>
      </c>
      <c r="BH87" s="21">
        <f>VLOOKUP($L87,EQP!$A$2:$S$10,19,0)</f>
        <v>360</v>
      </c>
      <c r="BI87" s="21">
        <f t="shared" si="196"/>
        <v>4</v>
      </c>
      <c r="BJ87" s="21">
        <f t="shared" si="197"/>
        <v>2</v>
      </c>
      <c r="BK87" s="21">
        <f t="shared" si="198"/>
        <v>0</v>
      </c>
      <c r="BL87" s="21">
        <f t="shared" si="224"/>
        <v>8</v>
      </c>
      <c r="BM87" s="21">
        <f t="shared" si="225"/>
        <v>0</v>
      </c>
      <c r="BN87" s="21">
        <f t="shared" si="226"/>
        <v>0</v>
      </c>
    </row>
    <row r="88" spans="1:66" x14ac:dyDescent="0.3">
      <c r="A88" s="5" t="str">
        <f t="shared" si="180"/>
        <v>1</v>
      </c>
      <c r="B88" s="6">
        <f t="shared" si="199"/>
        <v>8</v>
      </c>
      <c r="C88" s="7">
        <f t="shared" si="200"/>
        <v>14007841</v>
      </c>
      <c r="D88" s="7" t="str">
        <f t="shared" si="201"/>
        <v>END CAP RH ASSY</v>
      </c>
      <c r="E88" s="6">
        <f t="shared" si="202"/>
        <v>130</v>
      </c>
      <c r="F88" s="6">
        <f t="shared" si="203"/>
        <v>50</v>
      </c>
      <c r="G88" s="6">
        <f t="shared" si="204"/>
        <v>385</v>
      </c>
      <c r="H88" s="6">
        <f t="shared" si="205"/>
        <v>192</v>
      </c>
      <c r="I88" s="6">
        <f t="shared" si="206"/>
        <v>1</v>
      </c>
      <c r="J88" s="6">
        <f t="shared" si="207"/>
        <v>192</v>
      </c>
      <c r="K88" s="6">
        <f t="shared" si="208"/>
        <v>18</v>
      </c>
      <c r="L88" s="5" t="str">
        <f t="shared" si="227"/>
        <v>Crate (600 x 400 x 170) mm</v>
      </c>
      <c r="M88" s="21">
        <f>VLOOKUP($L88,EQP!$A$2:$S$10,2,0)</f>
        <v>560</v>
      </c>
      <c r="N88" s="21">
        <f>VLOOKUP($L88,EQP!$A$2:$S$10,3,0)</f>
        <v>360</v>
      </c>
      <c r="O88" s="21">
        <f>VLOOKUP($L88,EQP!$A$2:$S$10,4,0)</f>
        <v>155</v>
      </c>
      <c r="P88" s="21">
        <f t="shared" si="181"/>
        <v>4</v>
      </c>
      <c r="Q88" s="21">
        <f t="shared" si="182"/>
        <v>6</v>
      </c>
      <c r="R88" s="21">
        <f t="shared" si="183"/>
        <v>0</v>
      </c>
      <c r="S88" s="21">
        <f t="shared" si="209"/>
        <v>24</v>
      </c>
      <c r="T88" s="21">
        <f t="shared" si="210"/>
        <v>0</v>
      </c>
      <c r="U88" s="21">
        <f t="shared" si="211"/>
        <v>0</v>
      </c>
      <c r="V88" s="21">
        <f>VLOOKUP($L88,EQP!$A$2:$S$10,5,0)</f>
        <v>360</v>
      </c>
      <c r="W88" s="21">
        <f>VLOOKUP($L88,EQP!$A$2:$S$10,6,0)</f>
        <v>560</v>
      </c>
      <c r="X88" s="21">
        <f>VLOOKUP($L88,EQP!$A$2:$S$10,7,0)</f>
        <v>155</v>
      </c>
      <c r="Y88" s="21">
        <f t="shared" si="184"/>
        <v>2</v>
      </c>
      <c r="Z88" s="21">
        <f t="shared" si="185"/>
        <v>10</v>
      </c>
      <c r="AA88" s="21">
        <f t="shared" si="186"/>
        <v>0</v>
      </c>
      <c r="AB88" s="21">
        <f t="shared" si="212"/>
        <v>20</v>
      </c>
      <c r="AC88" s="21">
        <f t="shared" si="213"/>
        <v>0</v>
      </c>
      <c r="AD88" s="21">
        <f t="shared" si="214"/>
        <v>0</v>
      </c>
      <c r="AE88" s="21">
        <f>VLOOKUP($L88,EQP!$A$2:$S$10,8,0)</f>
        <v>155</v>
      </c>
      <c r="AF88" s="21">
        <f>VLOOKUP($L88,EQP!$A$2:$S$10,9,0)</f>
        <v>560</v>
      </c>
      <c r="AG88" s="21">
        <f>VLOOKUP($L88,EQP!$A$2:$S$10,10,0)</f>
        <v>360</v>
      </c>
      <c r="AH88" s="21">
        <f t="shared" si="187"/>
        <v>1</v>
      </c>
      <c r="AI88" s="21">
        <f t="shared" si="188"/>
        <v>10</v>
      </c>
      <c r="AJ88" s="21">
        <f t="shared" si="189"/>
        <v>0</v>
      </c>
      <c r="AK88" s="21">
        <f t="shared" si="215"/>
        <v>10</v>
      </c>
      <c r="AL88" s="21">
        <f t="shared" si="216"/>
        <v>0</v>
      </c>
      <c r="AM88" s="21">
        <f t="shared" si="217"/>
        <v>0</v>
      </c>
      <c r="AN88" s="21">
        <f>VLOOKUP($L88,EQP!$A$2:$S$10,11,0)</f>
        <v>155</v>
      </c>
      <c r="AO88" s="21">
        <f>VLOOKUP($L88,EQP!$A$2:$S$10,12,0)</f>
        <v>360</v>
      </c>
      <c r="AP88" s="21">
        <f>VLOOKUP($L88,EQP!$A$2:$S$10,13,0)</f>
        <v>560</v>
      </c>
      <c r="AQ88" s="21">
        <f t="shared" si="190"/>
        <v>1</v>
      </c>
      <c r="AR88" s="21">
        <f t="shared" si="191"/>
        <v>6</v>
      </c>
      <c r="AS88" s="21">
        <f t="shared" si="192"/>
        <v>1</v>
      </c>
      <c r="AT88" s="21">
        <f t="shared" si="218"/>
        <v>6</v>
      </c>
      <c r="AU88" s="21">
        <f t="shared" si="219"/>
        <v>1</v>
      </c>
      <c r="AV88" s="21">
        <f t="shared" si="220"/>
        <v>6</v>
      </c>
      <c r="AW88" s="21">
        <f>VLOOKUP($L88,EQP!$A$2:$S$10,14,0)</f>
        <v>360</v>
      </c>
      <c r="AX88" s="21">
        <f>VLOOKUP($L88,EQP!$A$2:$S$10,15,0)</f>
        <v>155</v>
      </c>
      <c r="AY88" s="21">
        <f>VLOOKUP($L88,EQP!$A$2:$S$10,16,0)</f>
        <v>560</v>
      </c>
      <c r="AZ88" s="21">
        <f t="shared" si="193"/>
        <v>2</v>
      </c>
      <c r="BA88" s="21">
        <f t="shared" si="194"/>
        <v>2</v>
      </c>
      <c r="BB88" s="21">
        <f t="shared" si="195"/>
        <v>1</v>
      </c>
      <c r="BC88" s="21">
        <f t="shared" si="221"/>
        <v>4</v>
      </c>
      <c r="BD88" s="21">
        <f t="shared" si="222"/>
        <v>1</v>
      </c>
      <c r="BE88" s="21">
        <f t="shared" si="223"/>
        <v>4</v>
      </c>
      <c r="BF88" s="21">
        <f>VLOOKUP($L88,EQP!$A$2:$S$10,17,0)</f>
        <v>560</v>
      </c>
      <c r="BG88" s="21">
        <f>VLOOKUP($L88,EQP!$A$2:$S$10,18,0)</f>
        <v>155</v>
      </c>
      <c r="BH88" s="21">
        <f>VLOOKUP($L88,EQP!$A$2:$S$10,19,0)</f>
        <v>360</v>
      </c>
      <c r="BI88" s="21">
        <f t="shared" si="196"/>
        <v>4</v>
      </c>
      <c r="BJ88" s="21">
        <f t="shared" si="197"/>
        <v>2</v>
      </c>
      <c r="BK88" s="21">
        <f t="shared" si="198"/>
        <v>0</v>
      </c>
      <c r="BL88" s="21">
        <f t="shared" si="224"/>
        <v>8</v>
      </c>
      <c r="BM88" s="21">
        <f t="shared" si="225"/>
        <v>0</v>
      </c>
      <c r="BN88" s="21">
        <f t="shared" si="226"/>
        <v>0</v>
      </c>
    </row>
    <row r="89" spans="1:66" x14ac:dyDescent="0.3">
      <c r="A89" s="5" t="str">
        <f t="shared" si="180"/>
        <v>1</v>
      </c>
      <c r="B89" s="6">
        <f t="shared" si="199"/>
        <v>9</v>
      </c>
      <c r="C89" s="7">
        <f t="shared" si="200"/>
        <v>14007842</v>
      </c>
      <c r="D89" s="7" t="str">
        <f t="shared" si="201"/>
        <v>DRIVER SIDE KNEE COVER RHD ASSY</v>
      </c>
      <c r="E89" s="6">
        <f t="shared" si="202"/>
        <v>170</v>
      </c>
      <c r="F89" s="6">
        <f t="shared" si="203"/>
        <v>70</v>
      </c>
      <c r="G89" s="6">
        <f t="shared" si="204"/>
        <v>265</v>
      </c>
      <c r="H89" s="6">
        <f t="shared" si="205"/>
        <v>80</v>
      </c>
      <c r="I89" s="6">
        <f t="shared" si="206"/>
        <v>1</v>
      </c>
      <c r="J89" s="6">
        <f t="shared" si="207"/>
        <v>80</v>
      </c>
      <c r="K89" s="6">
        <f t="shared" si="208"/>
        <v>40</v>
      </c>
      <c r="L89" s="5" t="str">
        <f t="shared" si="227"/>
        <v>Crate (600 x 400 x 170) mm</v>
      </c>
      <c r="M89" s="21">
        <f>VLOOKUP($L89,EQP!$A$2:$S$10,2,0)</f>
        <v>560</v>
      </c>
      <c r="N89" s="21">
        <f>VLOOKUP($L89,EQP!$A$2:$S$10,3,0)</f>
        <v>360</v>
      </c>
      <c r="O89" s="21">
        <f>VLOOKUP($L89,EQP!$A$2:$S$10,4,0)</f>
        <v>155</v>
      </c>
      <c r="P89" s="21">
        <f t="shared" si="181"/>
        <v>3</v>
      </c>
      <c r="Q89" s="21">
        <f t="shared" si="182"/>
        <v>4</v>
      </c>
      <c r="R89" s="21">
        <f t="shared" si="183"/>
        <v>0</v>
      </c>
      <c r="S89" s="21">
        <f t="shared" si="209"/>
        <v>12</v>
      </c>
      <c r="T89" s="21">
        <f t="shared" si="210"/>
        <v>0</v>
      </c>
      <c r="U89" s="21">
        <f t="shared" si="211"/>
        <v>0</v>
      </c>
      <c r="V89" s="21">
        <f>VLOOKUP($L89,EQP!$A$2:$S$10,5,0)</f>
        <v>360</v>
      </c>
      <c r="W89" s="21">
        <f>VLOOKUP($L89,EQP!$A$2:$S$10,6,0)</f>
        <v>560</v>
      </c>
      <c r="X89" s="21">
        <f>VLOOKUP($L89,EQP!$A$2:$S$10,7,0)</f>
        <v>155</v>
      </c>
      <c r="Y89" s="21">
        <f t="shared" si="184"/>
        <v>2</v>
      </c>
      <c r="Z89" s="21">
        <f t="shared" si="185"/>
        <v>7</v>
      </c>
      <c r="AA89" s="21">
        <f t="shared" si="186"/>
        <v>0</v>
      </c>
      <c r="AB89" s="21">
        <f t="shared" si="212"/>
        <v>14</v>
      </c>
      <c r="AC89" s="21">
        <f t="shared" si="213"/>
        <v>0</v>
      </c>
      <c r="AD89" s="21">
        <f t="shared" si="214"/>
        <v>0</v>
      </c>
      <c r="AE89" s="21">
        <f>VLOOKUP($L89,EQP!$A$2:$S$10,8,0)</f>
        <v>155</v>
      </c>
      <c r="AF89" s="21">
        <f>VLOOKUP($L89,EQP!$A$2:$S$10,9,0)</f>
        <v>560</v>
      </c>
      <c r="AG89" s="21">
        <f>VLOOKUP($L89,EQP!$A$2:$S$10,10,0)</f>
        <v>360</v>
      </c>
      <c r="AH89" s="21">
        <f t="shared" si="187"/>
        <v>0</v>
      </c>
      <c r="AI89" s="21">
        <f t="shared" si="188"/>
        <v>7</v>
      </c>
      <c r="AJ89" s="21">
        <f t="shared" si="189"/>
        <v>1</v>
      </c>
      <c r="AK89" s="21">
        <f t="shared" si="215"/>
        <v>0</v>
      </c>
      <c r="AL89" s="21">
        <f t="shared" si="216"/>
        <v>1</v>
      </c>
      <c r="AM89" s="21">
        <f t="shared" si="217"/>
        <v>0</v>
      </c>
      <c r="AN89" s="21">
        <f>VLOOKUP($L89,EQP!$A$2:$S$10,11,0)</f>
        <v>155</v>
      </c>
      <c r="AO89" s="21">
        <f>VLOOKUP($L89,EQP!$A$2:$S$10,12,0)</f>
        <v>360</v>
      </c>
      <c r="AP89" s="21">
        <f>VLOOKUP($L89,EQP!$A$2:$S$10,13,0)</f>
        <v>560</v>
      </c>
      <c r="AQ89" s="21">
        <f t="shared" si="190"/>
        <v>0</v>
      </c>
      <c r="AR89" s="21">
        <f t="shared" si="191"/>
        <v>4</v>
      </c>
      <c r="AS89" s="21">
        <f t="shared" si="192"/>
        <v>2</v>
      </c>
      <c r="AT89" s="21">
        <f t="shared" si="218"/>
        <v>0</v>
      </c>
      <c r="AU89" s="21">
        <f t="shared" si="219"/>
        <v>2</v>
      </c>
      <c r="AV89" s="21">
        <f t="shared" si="220"/>
        <v>0</v>
      </c>
      <c r="AW89" s="21">
        <f>VLOOKUP($L89,EQP!$A$2:$S$10,14,0)</f>
        <v>360</v>
      </c>
      <c r="AX89" s="21">
        <f>VLOOKUP($L89,EQP!$A$2:$S$10,15,0)</f>
        <v>155</v>
      </c>
      <c r="AY89" s="21">
        <f>VLOOKUP($L89,EQP!$A$2:$S$10,16,0)</f>
        <v>560</v>
      </c>
      <c r="AZ89" s="21">
        <f t="shared" si="193"/>
        <v>2</v>
      </c>
      <c r="BA89" s="21">
        <f t="shared" si="194"/>
        <v>2</v>
      </c>
      <c r="BB89" s="21">
        <f t="shared" si="195"/>
        <v>2</v>
      </c>
      <c r="BC89" s="21">
        <f t="shared" si="221"/>
        <v>4</v>
      </c>
      <c r="BD89" s="21">
        <f t="shared" si="222"/>
        <v>2</v>
      </c>
      <c r="BE89" s="21">
        <f t="shared" si="223"/>
        <v>8</v>
      </c>
      <c r="BF89" s="21">
        <f>VLOOKUP($L89,EQP!$A$2:$S$10,17,0)</f>
        <v>560</v>
      </c>
      <c r="BG89" s="21">
        <f>VLOOKUP($L89,EQP!$A$2:$S$10,18,0)</f>
        <v>155</v>
      </c>
      <c r="BH89" s="21">
        <f>VLOOKUP($L89,EQP!$A$2:$S$10,19,0)</f>
        <v>360</v>
      </c>
      <c r="BI89" s="21">
        <f t="shared" si="196"/>
        <v>3</v>
      </c>
      <c r="BJ89" s="21">
        <f t="shared" si="197"/>
        <v>2</v>
      </c>
      <c r="BK89" s="21">
        <f t="shared" si="198"/>
        <v>1</v>
      </c>
      <c r="BL89" s="21">
        <f t="shared" si="224"/>
        <v>6</v>
      </c>
      <c r="BM89" s="21">
        <f t="shared" si="225"/>
        <v>1</v>
      </c>
      <c r="BN89" s="21">
        <f t="shared" si="226"/>
        <v>6</v>
      </c>
    </row>
    <row r="90" spans="1:66" x14ac:dyDescent="0.3">
      <c r="A90" s="5" t="str">
        <f t="shared" si="180"/>
        <v>1</v>
      </c>
      <c r="B90" s="6">
        <f t="shared" si="199"/>
        <v>10</v>
      </c>
      <c r="C90" s="7">
        <f t="shared" si="200"/>
        <v>14007843</v>
      </c>
      <c r="D90" s="7" t="str">
        <f t="shared" si="201"/>
        <v>DIN_BIN</v>
      </c>
      <c r="E90" s="6">
        <f t="shared" si="202"/>
        <v>225</v>
      </c>
      <c r="F90" s="6">
        <f t="shared" si="203"/>
        <v>70</v>
      </c>
      <c r="G90" s="6">
        <f t="shared" si="204"/>
        <v>310</v>
      </c>
      <c r="H90" s="6">
        <f t="shared" si="205"/>
        <v>192</v>
      </c>
      <c r="I90" s="6">
        <f t="shared" si="206"/>
        <v>3</v>
      </c>
      <c r="J90" s="6">
        <f t="shared" si="207"/>
        <v>576</v>
      </c>
      <c r="K90" s="6">
        <f t="shared" si="208"/>
        <v>6</v>
      </c>
      <c r="L90" s="5" t="str">
        <f t="shared" si="227"/>
        <v>Crate (600 x 400 x 170) mm</v>
      </c>
      <c r="M90" s="21">
        <f>VLOOKUP($L90,EQP!$A$2:$S$10,2,0)</f>
        <v>560</v>
      </c>
      <c r="N90" s="21">
        <f>VLOOKUP($L90,EQP!$A$2:$S$10,3,0)</f>
        <v>360</v>
      </c>
      <c r="O90" s="21">
        <f>VLOOKUP($L90,EQP!$A$2:$S$10,4,0)</f>
        <v>155</v>
      </c>
      <c r="P90" s="21">
        <f t="shared" si="181"/>
        <v>2</v>
      </c>
      <c r="Q90" s="21">
        <f t="shared" si="182"/>
        <v>4</v>
      </c>
      <c r="R90" s="21">
        <f t="shared" si="183"/>
        <v>0</v>
      </c>
      <c r="S90" s="21">
        <f t="shared" si="209"/>
        <v>8</v>
      </c>
      <c r="T90" s="21">
        <f t="shared" si="210"/>
        <v>0</v>
      </c>
      <c r="U90" s="21">
        <f t="shared" si="211"/>
        <v>0</v>
      </c>
      <c r="V90" s="21">
        <f>VLOOKUP($L90,EQP!$A$2:$S$10,5,0)</f>
        <v>360</v>
      </c>
      <c r="W90" s="21">
        <f>VLOOKUP($L90,EQP!$A$2:$S$10,6,0)</f>
        <v>560</v>
      </c>
      <c r="X90" s="21">
        <f>VLOOKUP($L90,EQP!$A$2:$S$10,7,0)</f>
        <v>155</v>
      </c>
      <c r="Y90" s="21">
        <f t="shared" si="184"/>
        <v>1</v>
      </c>
      <c r="Z90" s="21">
        <f t="shared" si="185"/>
        <v>7</v>
      </c>
      <c r="AA90" s="21">
        <f t="shared" si="186"/>
        <v>0</v>
      </c>
      <c r="AB90" s="21">
        <f t="shared" si="212"/>
        <v>7</v>
      </c>
      <c r="AC90" s="21">
        <f t="shared" si="213"/>
        <v>0</v>
      </c>
      <c r="AD90" s="21">
        <f t="shared" si="214"/>
        <v>0</v>
      </c>
      <c r="AE90" s="21">
        <f>VLOOKUP($L90,EQP!$A$2:$S$10,8,0)</f>
        <v>155</v>
      </c>
      <c r="AF90" s="21">
        <f>VLOOKUP($L90,EQP!$A$2:$S$10,9,0)</f>
        <v>560</v>
      </c>
      <c r="AG90" s="21">
        <f>VLOOKUP($L90,EQP!$A$2:$S$10,10,0)</f>
        <v>360</v>
      </c>
      <c r="AH90" s="21">
        <f t="shared" si="187"/>
        <v>0</v>
      </c>
      <c r="AI90" s="21">
        <f t="shared" si="188"/>
        <v>7</v>
      </c>
      <c r="AJ90" s="21">
        <f t="shared" si="189"/>
        <v>1</v>
      </c>
      <c r="AK90" s="21">
        <f t="shared" si="215"/>
        <v>0</v>
      </c>
      <c r="AL90" s="21">
        <f t="shared" si="216"/>
        <v>1</v>
      </c>
      <c r="AM90" s="21">
        <f t="shared" si="217"/>
        <v>0</v>
      </c>
      <c r="AN90" s="21">
        <f>VLOOKUP($L90,EQP!$A$2:$S$10,11,0)</f>
        <v>155</v>
      </c>
      <c r="AO90" s="21">
        <f>VLOOKUP($L90,EQP!$A$2:$S$10,12,0)</f>
        <v>360</v>
      </c>
      <c r="AP90" s="21">
        <f>VLOOKUP($L90,EQP!$A$2:$S$10,13,0)</f>
        <v>560</v>
      </c>
      <c r="AQ90" s="21">
        <f t="shared" si="190"/>
        <v>0</v>
      </c>
      <c r="AR90" s="21">
        <f t="shared" si="191"/>
        <v>4</v>
      </c>
      <c r="AS90" s="21">
        <f t="shared" si="192"/>
        <v>1</v>
      </c>
      <c r="AT90" s="21">
        <f t="shared" si="218"/>
        <v>0</v>
      </c>
      <c r="AU90" s="21">
        <f t="shared" si="219"/>
        <v>1</v>
      </c>
      <c r="AV90" s="21">
        <f t="shared" si="220"/>
        <v>0</v>
      </c>
      <c r="AW90" s="21">
        <f>VLOOKUP($L90,EQP!$A$2:$S$10,14,0)</f>
        <v>360</v>
      </c>
      <c r="AX90" s="21">
        <f>VLOOKUP($L90,EQP!$A$2:$S$10,15,0)</f>
        <v>155</v>
      </c>
      <c r="AY90" s="21">
        <f>VLOOKUP($L90,EQP!$A$2:$S$10,16,0)</f>
        <v>560</v>
      </c>
      <c r="AZ90" s="21">
        <f t="shared" si="193"/>
        <v>1</v>
      </c>
      <c r="BA90" s="21">
        <f t="shared" si="194"/>
        <v>2</v>
      </c>
      <c r="BB90" s="21">
        <f t="shared" si="195"/>
        <v>1</v>
      </c>
      <c r="BC90" s="21">
        <f t="shared" si="221"/>
        <v>2</v>
      </c>
      <c r="BD90" s="21">
        <f t="shared" si="222"/>
        <v>1</v>
      </c>
      <c r="BE90" s="21">
        <f t="shared" si="223"/>
        <v>2</v>
      </c>
      <c r="BF90" s="21">
        <f>VLOOKUP($L90,EQP!$A$2:$S$10,17,0)</f>
        <v>560</v>
      </c>
      <c r="BG90" s="21">
        <f>VLOOKUP($L90,EQP!$A$2:$S$10,18,0)</f>
        <v>155</v>
      </c>
      <c r="BH90" s="21">
        <f>VLOOKUP($L90,EQP!$A$2:$S$10,19,0)</f>
        <v>360</v>
      </c>
      <c r="BI90" s="21">
        <f t="shared" si="196"/>
        <v>2</v>
      </c>
      <c r="BJ90" s="21">
        <f t="shared" si="197"/>
        <v>2</v>
      </c>
      <c r="BK90" s="21">
        <f t="shared" si="198"/>
        <v>1</v>
      </c>
      <c r="BL90" s="21">
        <f t="shared" si="224"/>
        <v>4</v>
      </c>
      <c r="BM90" s="21">
        <f t="shared" si="225"/>
        <v>1</v>
      </c>
      <c r="BN90" s="21">
        <f t="shared" si="226"/>
        <v>4</v>
      </c>
    </row>
    <row r="91" spans="1:66" x14ac:dyDescent="0.3">
      <c r="A91" s="5" t="str">
        <f t="shared" si="180"/>
        <v/>
      </c>
    </row>
    <row r="92" spans="1:66" x14ac:dyDescent="0.3">
      <c r="A92" s="5" t="str">
        <f t="shared" si="180"/>
        <v/>
      </c>
    </row>
    <row r="93" spans="1:66" x14ac:dyDescent="0.3">
      <c r="A93" s="5" t="str">
        <f t="shared" si="180"/>
        <v/>
      </c>
    </row>
    <row r="94" spans="1:66" x14ac:dyDescent="0.3">
      <c r="A94" s="5" t="str">
        <f t="shared" si="180"/>
        <v/>
      </c>
    </row>
    <row r="95" spans="1:66" x14ac:dyDescent="0.3">
      <c r="A95" s="5" t="str">
        <f t="shared" si="180"/>
        <v/>
      </c>
    </row>
    <row r="96" spans="1:66" x14ac:dyDescent="0.3">
      <c r="A96" s="5" t="str">
        <f t="shared" si="180"/>
        <v/>
      </c>
    </row>
    <row r="97" spans="1:66" x14ac:dyDescent="0.3">
      <c r="A97" s="5" t="str">
        <f t="shared" si="180"/>
        <v/>
      </c>
    </row>
    <row r="98" spans="1:66" x14ac:dyDescent="0.3">
      <c r="A98" s="5" t="str">
        <f t="shared" si="180"/>
        <v/>
      </c>
    </row>
    <row r="99" spans="1:66" x14ac:dyDescent="0.3">
      <c r="A99" s="5" t="str">
        <f t="shared" si="180"/>
        <v/>
      </c>
    </row>
    <row r="100" spans="1:66" x14ac:dyDescent="0.3">
      <c r="A100" s="5" t="str">
        <f t="shared" si="180"/>
        <v/>
      </c>
    </row>
    <row r="101" spans="1:66" x14ac:dyDescent="0.3">
      <c r="A101" s="5" t="str">
        <f t="shared" si="180"/>
        <v>1</v>
      </c>
      <c r="B101" s="6">
        <f>$B81</f>
        <v>1</v>
      </c>
      <c r="C101" s="7">
        <f>$C81</f>
        <v>14007834</v>
      </c>
      <c r="D101" s="7" t="str">
        <f>$D81</f>
        <v>2.0_M_CENTER BEZEL PREMIUM ASSY</v>
      </c>
      <c r="E101" s="6">
        <f>$E81</f>
        <v>274</v>
      </c>
      <c r="F101" s="6">
        <f>$F81</f>
        <v>76</v>
      </c>
      <c r="G101" s="6">
        <f>$G81</f>
        <v>620</v>
      </c>
      <c r="H101" s="6">
        <f>$H81</f>
        <v>44</v>
      </c>
      <c r="I101" s="6">
        <f>$I81</f>
        <v>1</v>
      </c>
      <c r="J101" s="6">
        <f>$J81</f>
        <v>44</v>
      </c>
      <c r="K101" s="6">
        <f>$K81</f>
        <v>80</v>
      </c>
      <c r="L101" s="5" t="str">
        <f>EQP!A7</f>
        <v>Crate (600 x 400 x 220) mm</v>
      </c>
      <c r="M101" s="21">
        <f>VLOOKUP($L101,EQP!$A$2:$S$10,2,0)</f>
        <v>560</v>
      </c>
      <c r="N101" s="21">
        <f>VLOOKUP($L101,EQP!$A$2:$S$10,3,0)</f>
        <v>360</v>
      </c>
      <c r="O101" s="21">
        <f>VLOOKUP($L101,EQP!$A$2:$S$10,4,0)</f>
        <v>205</v>
      </c>
      <c r="P101" s="21">
        <f t="shared" ref="P101:P110" si="228">ROUNDDOWN($M101/($E101+5),0)</f>
        <v>2</v>
      </c>
      <c r="Q101" s="21">
        <f t="shared" ref="Q101:Q110" si="229">ROUNDDOWN($N101/($F101+5),0)</f>
        <v>4</v>
      </c>
      <c r="R101" s="21">
        <f t="shared" ref="R101:R110" si="230">ROUNDDOWN($O101/($G101+5),0)</f>
        <v>0</v>
      </c>
      <c r="S101" s="21">
        <f>$P101*$Q101</f>
        <v>8</v>
      </c>
      <c r="T101" s="21">
        <f>R101</f>
        <v>0</v>
      </c>
      <c r="U101" s="21">
        <f>S101*T101</f>
        <v>0</v>
      </c>
      <c r="V101" s="21">
        <f>VLOOKUP($L101,EQP!$A$2:$S$10,5,0)</f>
        <v>360</v>
      </c>
      <c r="W101" s="21">
        <f>VLOOKUP($L101,EQP!$A$2:$S$10,6,0)</f>
        <v>560</v>
      </c>
      <c r="X101" s="21">
        <f>VLOOKUP($L101,EQP!$A$2:$S$10,7,0)</f>
        <v>205</v>
      </c>
      <c r="Y101" s="21">
        <f t="shared" ref="Y101:Y110" si="231">ROUNDDOWN($N101/($E101+5),0)</f>
        <v>1</v>
      </c>
      <c r="Z101" s="21">
        <f t="shared" ref="Z101:Z110" si="232">ROUNDDOWN($W101/($F101+5),0)</f>
        <v>6</v>
      </c>
      <c r="AA101" s="21">
        <f t="shared" ref="AA101:AA110" si="233">ROUNDDOWN($X101/($G101+5),0)</f>
        <v>0</v>
      </c>
      <c r="AB101" s="21">
        <f>Y101*Z101</f>
        <v>6</v>
      </c>
      <c r="AC101" s="21">
        <f>AA101</f>
        <v>0</v>
      </c>
      <c r="AD101" s="21">
        <f>AB101*AC101</f>
        <v>0</v>
      </c>
      <c r="AE101" s="21">
        <f>VLOOKUP($L101,EQP!$A$2:$S$10,8,0)</f>
        <v>205</v>
      </c>
      <c r="AF101" s="21">
        <f>VLOOKUP($L101,EQP!$A$2:$S$10,9,0)</f>
        <v>560</v>
      </c>
      <c r="AG101" s="21">
        <f>VLOOKUP($L101,EQP!$A$2:$S$10,10,0)</f>
        <v>360</v>
      </c>
      <c r="AH101" s="21">
        <f t="shared" ref="AH101:AH110" si="234">ROUNDDOWN($AE101/($E101+5),0)</f>
        <v>0</v>
      </c>
      <c r="AI101" s="21">
        <f t="shared" ref="AI101:AI110" si="235">ROUNDDOWN($AF101/($F101+5),0)</f>
        <v>6</v>
      </c>
      <c r="AJ101" s="21">
        <f t="shared" ref="AJ101:AJ110" si="236">ROUNDDOWN($AG101/($G101+5),0)</f>
        <v>0</v>
      </c>
      <c r="AK101" s="21">
        <f>AH101*AI101</f>
        <v>0</v>
      </c>
      <c r="AL101" s="21">
        <f>AJ101</f>
        <v>0</v>
      </c>
      <c r="AM101" s="21">
        <f>AK101*AL101</f>
        <v>0</v>
      </c>
      <c r="AN101" s="21">
        <f>VLOOKUP($L101,EQP!$A$2:$S$10,11,0)</f>
        <v>205</v>
      </c>
      <c r="AO101" s="21">
        <f>VLOOKUP($L101,EQP!$A$2:$S$10,12,0)</f>
        <v>360</v>
      </c>
      <c r="AP101" s="21">
        <f>VLOOKUP($L101,EQP!$A$2:$S$10,13,0)</f>
        <v>560</v>
      </c>
      <c r="AQ101" s="21">
        <f t="shared" ref="AQ101:AQ110" si="237">ROUNDDOWN($AN101/($E101+5),0)</f>
        <v>0</v>
      </c>
      <c r="AR101" s="21">
        <f t="shared" ref="AR101:AR110" si="238">ROUNDDOWN($AO101/($F101+5),0)</f>
        <v>4</v>
      </c>
      <c r="AS101" s="21">
        <f t="shared" ref="AS101:AS110" si="239">ROUNDDOWN($AP101/($G101+5),0)</f>
        <v>0</v>
      </c>
      <c r="AT101" s="21">
        <f>AQ101*AR101</f>
        <v>0</v>
      </c>
      <c r="AU101" s="21">
        <f>AS101</f>
        <v>0</v>
      </c>
      <c r="AV101" s="21">
        <f>AT101*AU101</f>
        <v>0</v>
      </c>
      <c r="AW101" s="21">
        <f>VLOOKUP($L101,EQP!$A$2:$S$10,14,0)</f>
        <v>360</v>
      </c>
      <c r="AX101" s="21">
        <f>VLOOKUP($L101,EQP!$A$2:$S$10,15,0)</f>
        <v>205</v>
      </c>
      <c r="AY101" s="21">
        <f>VLOOKUP($L101,EQP!$A$2:$S$10,16,0)</f>
        <v>560</v>
      </c>
      <c r="AZ101" s="21">
        <f t="shared" ref="AZ101:AZ110" si="240">ROUNDDOWN($AW101/($E101+5),0)</f>
        <v>1</v>
      </c>
      <c r="BA101" s="21">
        <f t="shared" ref="BA101:BA110" si="241">ROUNDDOWN($AX101/($F101+5),0)</f>
        <v>2</v>
      </c>
      <c r="BB101" s="21">
        <f t="shared" ref="BB101:BB110" si="242">ROUNDDOWN($AY101/($G101+5),0)</f>
        <v>0</v>
      </c>
      <c r="BC101" s="21">
        <f>AZ101*BA101</f>
        <v>2</v>
      </c>
      <c r="BD101" s="21">
        <f>BB101</f>
        <v>0</v>
      </c>
      <c r="BE101" s="21">
        <f>BC101*BD101</f>
        <v>0</v>
      </c>
      <c r="BF101" s="21">
        <f>VLOOKUP($L101,EQP!$A$2:$S$10,17,0)</f>
        <v>560</v>
      </c>
      <c r="BG101" s="21">
        <f>VLOOKUP($L101,EQP!$A$2:$S$10,18,0)</f>
        <v>205</v>
      </c>
      <c r="BH101" s="21">
        <f>VLOOKUP($L101,EQP!$A$2:$S$10,19,0)</f>
        <v>360</v>
      </c>
      <c r="BI101" s="21">
        <f t="shared" ref="BI101:BI110" si="243">ROUNDDOWN($BF101/($E101+5),0)</f>
        <v>2</v>
      </c>
      <c r="BJ101" s="21">
        <f t="shared" ref="BJ101:BJ110" si="244">ROUNDDOWN($BG101/($F101+5),0)</f>
        <v>2</v>
      </c>
      <c r="BK101" s="21">
        <f t="shared" ref="BK101:BK110" si="245">ROUNDDOWN($BH101/($G101+5),0)</f>
        <v>0</v>
      </c>
      <c r="BL101" s="21">
        <f>BI101*BJ101</f>
        <v>4</v>
      </c>
      <c r="BM101" s="21">
        <f>BK101</f>
        <v>0</v>
      </c>
      <c r="BN101" s="21">
        <f>BL101*BM101</f>
        <v>0</v>
      </c>
    </row>
    <row r="102" spans="1:66" x14ac:dyDescent="0.3">
      <c r="A102" s="5" t="str">
        <f t="shared" si="180"/>
        <v>1</v>
      </c>
      <c r="B102" s="6">
        <f t="shared" ref="B102:B110" si="246">$B82</f>
        <v>2</v>
      </c>
      <c r="C102" s="7">
        <f t="shared" ref="C102:C110" si="247">$C82</f>
        <v>14007835</v>
      </c>
      <c r="D102" s="7" t="str">
        <f t="shared" ref="D102:D110" si="248">$D82</f>
        <v>SHROUD UPPER</v>
      </c>
      <c r="E102" s="6">
        <f t="shared" ref="E102:E110" si="249">$E82</f>
        <v>225</v>
      </c>
      <c r="F102" s="6">
        <f t="shared" ref="F102:F110" si="250">$F82</f>
        <v>125</v>
      </c>
      <c r="G102" s="6">
        <f t="shared" ref="G102:G110" si="251">$G82</f>
        <v>190</v>
      </c>
      <c r="H102" s="6">
        <f t="shared" ref="H102:H110" si="252">$H82</f>
        <v>96</v>
      </c>
      <c r="I102" s="6">
        <f t="shared" ref="I102:I110" si="253">$I82</f>
        <v>2</v>
      </c>
      <c r="J102" s="6">
        <f t="shared" ref="J102:J110" si="254">$J82</f>
        <v>192</v>
      </c>
      <c r="K102" s="6">
        <f t="shared" ref="K102:K110" si="255">$K82</f>
        <v>18</v>
      </c>
      <c r="L102" s="5" t="str">
        <f>L101</f>
        <v>Crate (600 x 400 x 220) mm</v>
      </c>
      <c r="M102" s="21">
        <f>VLOOKUP($L102,EQP!$A$2:$S$10,2,0)</f>
        <v>560</v>
      </c>
      <c r="N102" s="21">
        <f>VLOOKUP($L102,EQP!$A$2:$S$10,3,0)</f>
        <v>360</v>
      </c>
      <c r="O102" s="21">
        <f>VLOOKUP($L102,EQP!$A$2:$S$10,4,0)</f>
        <v>205</v>
      </c>
      <c r="P102" s="21">
        <f t="shared" si="228"/>
        <v>2</v>
      </c>
      <c r="Q102" s="21">
        <f t="shared" si="229"/>
        <v>2</v>
      </c>
      <c r="R102" s="21">
        <f t="shared" si="230"/>
        <v>1</v>
      </c>
      <c r="S102" s="21">
        <f t="shared" ref="S102:S110" si="256">$P102*$Q102</f>
        <v>4</v>
      </c>
      <c r="T102" s="21">
        <f t="shared" ref="T102:T110" si="257">R102</f>
        <v>1</v>
      </c>
      <c r="U102" s="21">
        <f t="shared" ref="U102:U110" si="258">S102*T102</f>
        <v>4</v>
      </c>
      <c r="V102" s="21">
        <f>VLOOKUP($L102,EQP!$A$2:$S$10,5,0)</f>
        <v>360</v>
      </c>
      <c r="W102" s="21">
        <f>VLOOKUP($L102,EQP!$A$2:$S$10,6,0)</f>
        <v>560</v>
      </c>
      <c r="X102" s="21">
        <f>VLOOKUP($L102,EQP!$A$2:$S$10,7,0)</f>
        <v>205</v>
      </c>
      <c r="Y102" s="21">
        <f t="shared" si="231"/>
        <v>1</v>
      </c>
      <c r="Z102" s="21">
        <f t="shared" si="232"/>
        <v>4</v>
      </c>
      <c r="AA102" s="21">
        <f t="shared" si="233"/>
        <v>1</v>
      </c>
      <c r="AB102" s="21">
        <f t="shared" ref="AB102:AB110" si="259">Y102*Z102</f>
        <v>4</v>
      </c>
      <c r="AC102" s="21">
        <f t="shared" ref="AC102:AC110" si="260">AA102</f>
        <v>1</v>
      </c>
      <c r="AD102" s="21">
        <f t="shared" ref="AD102:AD110" si="261">AB102*AC102</f>
        <v>4</v>
      </c>
      <c r="AE102" s="21">
        <f>VLOOKUP($L102,EQP!$A$2:$S$10,8,0)</f>
        <v>205</v>
      </c>
      <c r="AF102" s="21">
        <f>VLOOKUP($L102,EQP!$A$2:$S$10,9,0)</f>
        <v>560</v>
      </c>
      <c r="AG102" s="21">
        <f>VLOOKUP($L102,EQP!$A$2:$S$10,10,0)</f>
        <v>360</v>
      </c>
      <c r="AH102" s="21">
        <f t="shared" si="234"/>
        <v>0</v>
      </c>
      <c r="AI102" s="21">
        <f t="shared" si="235"/>
        <v>4</v>
      </c>
      <c r="AJ102" s="21">
        <f t="shared" si="236"/>
        <v>1</v>
      </c>
      <c r="AK102" s="21">
        <f t="shared" ref="AK102:AK110" si="262">AH102*AI102</f>
        <v>0</v>
      </c>
      <c r="AL102" s="21">
        <f t="shared" ref="AL102:AL110" si="263">AJ102</f>
        <v>1</v>
      </c>
      <c r="AM102" s="21">
        <f t="shared" ref="AM102:AM110" si="264">AK102*AL102</f>
        <v>0</v>
      </c>
      <c r="AN102" s="21">
        <f>VLOOKUP($L102,EQP!$A$2:$S$10,11,0)</f>
        <v>205</v>
      </c>
      <c r="AO102" s="21">
        <f>VLOOKUP($L102,EQP!$A$2:$S$10,12,0)</f>
        <v>360</v>
      </c>
      <c r="AP102" s="21">
        <f>VLOOKUP($L102,EQP!$A$2:$S$10,13,0)</f>
        <v>560</v>
      </c>
      <c r="AQ102" s="21">
        <f t="shared" si="237"/>
        <v>0</v>
      </c>
      <c r="AR102" s="21">
        <f t="shared" si="238"/>
        <v>2</v>
      </c>
      <c r="AS102" s="21">
        <f t="shared" si="239"/>
        <v>2</v>
      </c>
      <c r="AT102" s="21">
        <f t="shared" ref="AT102:AT110" si="265">AQ102*AR102</f>
        <v>0</v>
      </c>
      <c r="AU102" s="21">
        <f t="shared" ref="AU102:AU110" si="266">AS102</f>
        <v>2</v>
      </c>
      <c r="AV102" s="21">
        <f t="shared" ref="AV102:AV110" si="267">AT102*AU102</f>
        <v>0</v>
      </c>
      <c r="AW102" s="21">
        <f>VLOOKUP($L102,EQP!$A$2:$S$10,14,0)</f>
        <v>360</v>
      </c>
      <c r="AX102" s="21">
        <f>VLOOKUP($L102,EQP!$A$2:$S$10,15,0)</f>
        <v>205</v>
      </c>
      <c r="AY102" s="21">
        <f>VLOOKUP($L102,EQP!$A$2:$S$10,16,0)</f>
        <v>560</v>
      </c>
      <c r="AZ102" s="21">
        <f t="shared" si="240"/>
        <v>1</v>
      </c>
      <c r="BA102" s="21">
        <f t="shared" si="241"/>
        <v>1</v>
      </c>
      <c r="BB102" s="21">
        <f t="shared" si="242"/>
        <v>2</v>
      </c>
      <c r="BC102" s="21">
        <f t="shared" ref="BC102:BC110" si="268">AZ102*BA102</f>
        <v>1</v>
      </c>
      <c r="BD102" s="21">
        <f t="shared" ref="BD102:BD110" si="269">BB102</f>
        <v>2</v>
      </c>
      <c r="BE102" s="21">
        <f t="shared" ref="BE102:BE110" si="270">BC102*BD102</f>
        <v>2</v>
      </c>
      <c r="BF102" s="21">
        <f>VLOOKUP($L102,EQP!$A$2:$S$10,17,0)</f>
        <v>560</v>
      </c>
      <c r="BG102" s="21">
        <f>VLOOKUP($L102,EQP!$A$2:$S$10,18,0)</f>
        <v>205</v>
      </c>
      <c r="BH102" s="21">
        <f>VLOOKUP($L102,EQP!$A$2:$S$10,19,0)</f>
        <v>360</v>
      </c>
      <c r="BI102" s="21">
        <f t="shared" si="243"/>
        <v>2</v>
      </c>
      <c r="BJ102" s="21">
        <f t="shared" si="244"/>
        <v>1</v>
      </c>
      <c r="BK102" s="21">
        <f t="shared" si="245"/>
        <v>1</v>
      </c>
      <c r="BL102" s="21">
        <f t="shared" ref="BL102:BL110" si="271">BI102*BJ102</f>
        <v>2</v>
      </c>
      <c r="BM102" s="21">
        <f t="shared" ref="BM102:BM110" si="272">BK102</f>
        <v>1</v>
      </c>
      <c r="BN102" s="21">
        <f t="shared" ref="BN102:BN110" si="273">BL102*BM102</f>
        <v>2</v>
      </c>
    </row>
    <row r="103" spans="1:66" x14ac:dyDescent="0.3">
      <c r="A103" s="5" t="str">
        <f t="shared" si="180"/>
        <v>1</v>
      </c>
      <c r="B103" s="6">
        <f t="shared" si="246"/>
        <v>3</v>
      </c>
      <c r="C103" s="7">
        <f t="shared" si="247"/>
        <v>14007836</v>
      </c>
      <c r="D103" s="7" t="str">
        <f t="shared" si="248"/>
        <v>SHROUD LOWER</v>
      </c>
      <c r="E103" s="6">
        <f t="shared" si="249"/>
        <v>435</v>
      </c>
      <c r="F103" s="6">
        <f t="shared" si="250"/>
        <v>100</v>
      </c>
      <c r="G103" s="6">
        <f t="shared" si="251"/>
        <v>210</v>
      </c>
      <c r="H103" s="6">
        <f t="shared" si="252"/>
        <v>48</v>
      </c>
      <c r="I103" s="6">
        <f t="shared" si="253"/>
        <v>1</v>
      </c>
      <c r="J103" s="6">
        <f t="shared" si="254"/>
        <v>48</v>
      </c>
      <c r="K103" s="6">
        <f t="shared" si="255"/>
        <v>75</v>
      </c>
      <c r="L103" s="5" t="str">
        <f t="shared" ref="L103:L110" si="274">L102</f>
        <v>Crate (600 x 400 x 220) mm</v>
      </c>
      <c r="M103" s="21">
        <f>VLOOKUP($L103,EQP!$A$2:$S$10,2,0)</f>
        <v>560</v>
      </c>
      <c r="N103" s="21">
        <f>VLOOKUP($L103,EQP!$A$2:$S$10,3,0)</f>
        <v>360</v>
      </c>
      <c r="O103" s="21">
        <f>VLOOKUP($L103,EQP!$A$2:$S$10,4,0)</f>
        <v>205</v>
      </c>
      <c r="P103" s="21">
        <f t="shared" si="228"/>
        <v>1</v>
      </c>
      <c r="Q103" s="21">
        <f t="shared" si="229"/>
        <v>3</v>
      </c>
      <c r="R103" s="21">
        <f t="shared" si="230"/>
        <v>0</v>
      </c>
      <c r="S103" s="21">
        <f t="shared" si="256"/>
        <v>3</v>
      </c>
      <c r="T103" s="21">
        <f t="shared" si="257"/>
        <v>0</v>
      </c>
      <c r="U103" s="21">
        <f t="shared" si="258"/>
        <v>0</v>
      </c>
      <c r="V103" s="21">
        <f>VLOOKUP($L103,EQP!$A$2:$S$10,5,0)</f>
        <v>360</v>
      </c>
      <c r="W103" s="21">
        <f>VLOOKUP($L103,EQP!$A$2:$S$10,6,0)</f>
        <v>560</v>
      </c>
      <c r="X103" s="21">
        <f>VLOOKUP($L103,EQP!$A$2:$S$10,7,0)</f>
        <v>205</v>
      </c>
      <c r="Y103" s="21">
        <f t="shared" si="231"/>
        <v>0</v>
      </c>
      <c r="Z103" s="21">
        <f t="shared" si="232"/>
        <v>5</v>
      </c>
      <c r="AA103" s="21">
        <f t="shared" si="233"/>
        <v>0</v>
      </c>
      <c r="AB103" s="21">
        <f t="shared" si="259"/>
        <v>0</v>
      </c>
      <c r="AC103" s="21">
        <f t="shared" si="260"/>
        <v>0</v>
      </c>
      <c r="AD103" s="21">
        <f t="shared" si="261"/>
        <v>0</v>
      </c>
      <c r="AE103" s="21">
        <f>VLOOKUP($L103,EQP!$A$2:$S$10,8,0)</f>
        <v>205</v>
      </c>
      <c r="AF103" s="21">
        <f>VLOOKUP($L103,EQP!$A$2:$S$10,9,0)</f>
        <v>560</v>
      </c>
      <c r="AG103" s="21">
        <f>VLOOKUP($L103,EQP!$A$2:$S$10,10,0)</f>
        <v>360</v>
      </c>
      <c r="AH103" s="21">
        <f t="shared" si="234"/>
        <v>0</v>
      </c>
      <c r="AI103" s="21">
        <f t="shared" si="235"/>
        <v>5</v>
      </c>
      <c r="AJ103" s="21">
        <f t="shared" si="236"/>
        <v>1</v>
      </c>
      <c r="AK103" s="21">
        <f t="shared" si="262"/>
        <v>0</v>
      </c>
      <c r="AL103" s="21">
        <f t="shared" si="263"/>
        <v>1</v>
      </c>
      <c r="AM103" s="21">
        <f t="shared" si="264"/>
        <v>0</v>
      </c>
      <c r="AN103" s="21">
        <f>VLOOKUP($L103,EQP!$A$2:$S$10,11,0)</f>
        <v>205</v>
      </c>
      <c r="AO103" s="21">
        <f>VLOOKUP($L103,EQP!$A$2:$S$10,12,0)</f>
        <v>360</v>
      </c>
      <c r="AP103" s="21">
        <f>VLOOKUP($L103,EQP!$A$2:$S$10,13,0)</f>
        <v>560</v>
      </c>
      <c r="AQ103" s="21">
        <f t="shared" si="237"/>
        <v>0</v>
      </c>
      <c r="AR103" s="21">
        <f t="shared" si="238"/>
        <v>3</v>
      </c>
      <c r="AS103" s="21">
        <f t="shared" si="239"/>
        <v>2</v>
      </c>
      <c r="AT103" s="21">
        <f t="shared" si="265"/>
        <v>0</v>
      </c>
      <c r="AU103" s="21">
        <f t="shared" si="266"/>
        <v>2</v>
      </c>
      <c r="AV103" s="21">
        <f t="shared" si="267"/>
        <v>0</v>
      </c>
      <c r="AW103" s="21">
        <f>VLOOKUP($L103,EQP!$A$2:$S$10,14,0)</f>
        <v>360</v>
      </c>
      <c r="AX103" s="21">
        <f>VLOOKUP($L103,EQP!$A$2:$S$10,15,0)</f>
        <v>205</v>
      </c>
      <c r="AY103" s="21">
        <f>VLOOKUP($L103,EQP!$A$2:$S$10,16,0)</f>
        <v>560</v>
      </c>
      <c r="AZ103" s="21">
        <f t="shared" si="240"/>
        <v>0</v>
      </c>
      <c r="BA103" s="21">
        <f t="shared" si="241"/>
        <v>1</v>
      </c>
      <c r="BB103" s="21">
        <f t="shared" si="242"/>
        <v>2</v>
      </c>
      <c r="BC103" s="21">
        <f t="shared" si="268"/>
        <v>0</v>
      </c>
      <c r="BD103" s="21">
        <f t="shared" si="269"/>
        <v>2</v>
      </c>
      <c r="BE103" s="21">
        <f t="shared" si="270"/>
        <v>0</v>
      </c>
      <c r="BF103" s="21">
        <f>VLOOKUP($L103,EQP!$A$2:$S$10,17,0)</f>
        <v>560</v>
      </c>
      <c r="BG103" s="21">
        <f>VLOOKUP($L103,EQP!$A$2:$S$10,18,0)</f>
        <v>205</v>
      </c>
      <c r="BH103" s="21">
        <f>VLOOKUP($L103,EQP!$A$2:$S$10,19,0)</f>
        <v>360</v>
      </c>
      <c r="BI103" s="21">
        <f t="shared" si="243"/>
        <v>1</v>
      </c>
      <c r="BJ103" s="21">
        <f t="shared" si="244"/>
        <v>1</v>
      </c>
      <c r="BK103" s="21">
        <f t="shared" si="245"/>
        <v>1</v>
      </c>
      <c r="BL103" s="21">
        <f t="shared" si="271"/>
        <v>1</v>
      </c>
      <c r="BM103" s="21">
        <f t="shared" si="272"/>
        <v>1</v>
      </c>
      <c r="BN103" s="21">
        <f t="shared" si="273"/>
        <v>1</v>
      </c>
    </row>
    <row r="104" spans="1:66" x14ac:dyDescent="0.3">
      <c r="A104" s="5" t="str">
        <f t="shared" si="180"/>
        <v>1</v>
      </c>
      <c r="B104" s="6">
        <f t="shared" si="246"/>
        <v>4</v>
      </c>
      <c r="C104" s="7">
        <f t="shared" si="247"/>
        <v>14007837</v>
      </c>
      <c r="D104" s="7" t="str">
        <f t="shared" si="248"/>
        <v>CLUSTER BEZEL LOWER ASSY</v>
      </c>
      <c r="E104" s="6">
        <f t="shared" si="249"/>
        <v>365</v>
      </c>
      <c r="F104" s="6">
        <f t="shared" si="250"/>
        <v>63</v>
      </c>
      <c r="G104" s="6">
        <f t="shared" si="251"/>
        <v>225</v>
      </c>
      <c r="H104" s="6">
        <f t="shared" si="252"/>
        <v>96</v>
      </c>
      <c r="I104" s="6">
        <f t="shared" si="253"/>
        <v>1</v>
      </c>
      <c r="J104" s="6">
        <f t="shared" si="254"/>
        <v>96</v>
      </c>
      <c r="K104" s="6">
        <f t="shared" si="255"/>
        <v>38</v>
      </c>
      <c r="L104" s="5" t="str">
        <f t="shared" si="274"/>
        <v>Crate (600 x 400 x 220) mm</v>
      </c>
      <c r="M104" s="21">
        <f>VLOOKUP($L104,EQP!$A$2:$S$10,2,0)</f>
        <v>560</v>
      </c>
      <c r="N104" s="21">
        <f>VLOOKUP($L104,EQP!$A$2:$S$10,3,0)</f>
        <v>360</v>
      </c>
      <c r="O104" s="21">
        <f>VLOOKUP($L104,EQP!$A$2:$S$10,4,0)</f>
        <v>205</v>
      </c>
      <c r="P104" s="21">
        <f t="shared" si="228"/>
        <v>1</v>
      </c>
      <c r="Q104" s="21">
        <f t="shared" si="229"/>
        <v>5</v>
      </c>
      <c r="R104" s="21">
        <f t="shared" si="230"/>
        <v>0</v>
      </c>
      <c r="S104" s="21">
        <f t="shared" si="256"/>
        <v>5</v>
      </c>
      <c r="T104" s="21">
        <f t="shared" si="257"/>
        <v>0</v>
      </c>
      <c r="U104" s="21">
        <f t="shared" si="258"/>
        <v>0</v>
      </c>
      <c r="V104" s="21">
        <f>VLOOKUP($L104,EQP!$A$2:$S$10,5,0)</f>
        <v>360</v>
      </c>
      <c r="W104" s="21">
        <f>VLOOKUP($L104,EQP!$A$2:$S$10,6,0)</f>
        <v>560</v>
      </c>
      <c r="X104" s="21">
        <f>VLOOKUP($L104,EQP!$A$2:$S$10,7,0)</f>
        <v>205</v>
      </c>
      <c r="Y104" s="21">
        <f t="shared" si="231"/>
        <v>0</v>
      </c>
      <c r="Z104" s="21">
        <f t="shared" si="232"/>
        <v>8</v>
      </c>
      <c r="AA104" s="21">
        <f t="shared" si="233"/>
        <v>0</v>
      </c>
      <c r="AB104" s="21">
        <f t="shared" si="259"/>
        <v>0</v>
      </c>
      <c r="AC104" s="21">
        <f t="shared" si="260"/>
        <v>0</v>
      </c>
      <c r="AD104" s="21">
        <f t="shared" si="261"/>
        <v>0</v>
      </c>
      <c r="AE104" s="21">
        <f>VLOOKUP($L104,EQP!$A$2:$S$10,8,0)</f>
        <v>205</v>
      </c>
      <c r="AF104" s="21">
        <f>VLOOKUP($L104,EQP!$A$2:$S$10,9,0)</f>
        <v>560</v>
      </c>
      <c r="AG104" s="21">
        <f>VLOOKUP($L104,EQP!$A$2:$S$10,10,0)</f>
        <v>360</v>
      </c>
      <c r="AH104" s="21">
        <f t="shared" si="234"/>
        <v>0</v>
      </c>
      <c r="AI104" s="21">
        <f t="shared" si="235"/>
        <v>8</v>
      </c>
      <c r="AJ104" s="21">
        <f t="shared" si="236"/>
        <v>1</v>
      </c>
      <c r="AK104" s="21">
        <f t="shared" si="262"/>
        <v>0</v>
      </c>
      <c r="AL104" s="21">
        <f t="shared" si="263"/>
        <v>1</v>
      </c>
      <c r="AM104" s="21">
        <f t="shared" si="264"/>
        <v>0</v>
      </c>
      <c r="AN104" s="21">
        <f>VLOOKUP($L104,EQP!$A$2:$S$10,11,0)</f>
        <v>205</v>
      </c>
      <c r="AO104" s="21">
        <f>VLOOKUP($L104,EQP!$A$2:$S$10,12,0)</f>
        <v>360</v>
      </c>
      <c r="AP104" s="21">
        <f>VLOOKUP($L104,EQP!$A$2:$S$10,13,0)</f>
        <v>560</v>
      </c>
      <c r="AQ104" s="21">
        <f t="shared" si="237"/>
        <v>0</v>
      </c>
      <c r="AR104" s="21">
        <f t="shared" si="238"/>
        <v>5</v>
      </c>
      <c r="AS104" s="21">
        <f t="shared" si="239"/>
        <v>2</v>
      </c>
      <c r="AT104" s="21">
        <f t="shared" si="265"/>
        <v>0</v>
      </c>
      <c r="AU104" s="21">
        <f t="shared" si="266"/>
        <v>2</v>
      </c>
      <c r="AV104" s="21">
        <f t="shared" si="267"/>
        <v>0</v>
      </c>
      <c r="AW104" s="21">
        <f>VLOOKUP($L104,EQP!$A$2:$S$10,14,0)</f>
        <v>360</v>
      </c>
      <c r="AX104" s="21">
        <f>VLOOKUP($L104,EQP!$A$2:$S$10,15,0)</f>
        <v>205</v>
      </c>
      <c r="AY104" s="21">
        <f>VLOOKUP($L104,EQP!$A$2:$S$10,16,0)</f>
        <v>560</v>
      </c>
      <c r="AZ104" s="21">
        <f t="shared" si="240"/>
        <v>0</v>
      </c>
      <c r="BA104" s="21">
        <f t="shared" si="241"/>
        <v>3</v>
      </c>
      <c r="BB104" s="21">
        <f t="shared" si="242"/>
        <v>2</v>
      </c>
      <c r="BC104" s="21">
        <f t="shared" si="268"/>
        <v>0</v>
      </c>
      <c r="BD104" s="21">
        <f t="shared" si="269"/>
        <v>2</v>
      </c>
      <c r="BE104" s="21">
        <f t="shared" si="270"/>
        <v>0</v>
      </c>
      <c r="BF104" s="21">
        <f>VLOOKUP($L104,EQP!$A$2:$S$10,17,0)</f>
        <v>560</v>
      </c>
      <c r="BG104" s="21">
        <f>VLOOKUP($L104,EQP!$A$2:$S$10,18,0)</f>
        <v>205</v>
      </c>
      <c r="BH104" s="21">
        <f>VLOOKUP($L104,EQP!$A$2:$S$10,19,0)</f>
        <v>360</v>
      </c>
      <c r="BI104" s="21">
        <f t="shared" si="243"/>
        <v>1</v>
      </c>
      <c r="BJ104" s="21">
        <f t="shared" si="244"/>
        <v>3</v>
      </c>
      <c r="BK104" s="21">
        <f t="shared" si="245"/>
        <v>1</v>
      </c>
      <c r="BL104" s="21">
        <f t="shared" si="271"/>
        <v>3</v>
      </c>
      <c r="BM104" s="21">
        <f t="shared" si="272"/>
        <v>1</v>
      </c>
      <c r="BN104" s="21">
        <f t="shared" si="273"/>
        <v>3</v>
      </c>
    </row>
    <row r="105" spans="1:66" x14ac:dyDescent="0.3">
      <c r="A105" s="5" t="str">
        <f t="shared" si="180"/>
        <v>1</v>
      </c>
      <c r="B105" s="6">
        <f t="shared" si="246"/>
        <v>5</v>
      </c>
      <c r="C105" s="7">
        <f t="shared" si="247"/>
        <v>14007838</v>
      </c>
      <c r="D105" s="7" t="str">
        <f t="shared" si="248"/>
        <v>DRIVER SIDE BOOSTER COVER ASSY</v>
      </c>
      <c r="E105" s="6">
        <f t="shared" si="249"/>
        <v>410</v>
      </c>
      <c r="F105" s="6">
        <f t="shared" si="250"/>
        <v>280</v>
      </c>
      <c r="G105" s="6">
        <f t="shared" si="251"/>
        <v>160</v>
      </c>
      <c r="H105" s="6">
        <f t="shared" si="252"/>
        <v>16</v>
      </c>
      <c r="I105" s="6">
        <f t="shared" si="253"/>
        <v>1</v>
      </c>
      <c r="J105" s="6">
        <f t="shared" si="254"/>
        <v>16</v>
      </c>
      <c r="K105" s="6">
        <f t="shared" si="255"/>
        <v>202</v>
      </c>
      <c r="L105" s="5" t="str">
        <f t="shared" si="274"/>
        <v>Crate (600 x 400 x 220) mm</v>
      </c>
      <c r="M105" s="21">
        <f>VLOOKUP($L105,EQP!$A$2:$S$10,2,0)</f>
        <v>560</v>
      </c>
      <c r="N105" s="21">
        <f>VLOOKUP($L105,EQP!$A$2:$S$10,3,0)</f>
        <v>360</v>
      </c>
      <c r="O105" s="21">
        <f>VLOOKUP($L105,EQP!$A$2:$S$10,4,0)</f>
        <v>205</v>
      </c>
      <c r="P105" s="21">
        <f t="shared" si="228"/>
        <v>1</v>
      </c>
      <c r="Q105" s="21">
        <f t="shared" si="229"/>
        <v>1</v>
      </c>
      <c r="R105" s="21">
        <f t="shared" si="230"/>
        <v>1</v>
      </c>
      <c r="S105" s="21">
        <f t="shared" si="256"/>
        <v>1</v>
      </c>
      <c r="T105" s="21">
        <f t="shared" si="257"/>
        <v>1</v>
      </c>
      <c r="U105" s="21">
        <f t="shared" si="258"/>
        <v>1</v>
      </c>
      <c r="V105" s="21">
        <f>VLOOKUP($L105,EQP!$A$2:$S$10,5,0)</f>
        <v>360</v>
      </c>
      <c r="W105" s="21">
        <f>VLOOKUP($L105,EQP!$A$2:$S$10,6,0)</f>
        <v>560</v>
      </c>
      <c r="X105" s="21">
        <f>VLOOKUP($L105,EQP!$A$2:$S$10,7,0)</f>
        <v>205</v>
      </c>
      <c r="Y105" s="21">
        <f t="shared" si="231"/>
        <v>0</v>
      </c>
      <c r="Z105" s="21">
        <f t="shared" si="232"/>
        <v>1</v>
      </c>
      <c r="AA105" s="21">
        <f t="shared" si="233"/>
        <v>1</v>
      </c>
      <c r="AB105" s="21">
        <f t="shared" si="259"/>
        <v>0</v>
      </c>
      <c r="AC105" s="21">
        <f t="shared" si="260"/>
        <v>1</v>
      </c>
      <c r="AD105" s="21">
        <f t="shared" si="261"/>
        <v>0</v>
      </c>
      <c r="AE105" s="21">
        <f>VLOOKUP($L105,EQP!$A$2:$S$10,8,0)</f>
        <v>205</v>
      </c>
      <c r="AF105" s="21">
        <f>VLOOKUP($L105,EQP!$A$2:$S$10,9,0)</f>
        <v>560</v>
      </c>
      <c r="AG105" s="21">
        <f>VLOOKUP($L105,EQP!$A$2:$S$10,10,0)</f>
        <v>360</v>
      </c>
      <c r="AH105" s="21">
        <f t="shared" si="234"/>
        <v>0</v>
      </c>
      <c r="AI105" s="21">
        <f t="shared" si="235"/>
        <v>1</v>
      </c>
      <c r="AJ105" s="21">
        <f t="shared" si="236"/>
        <v>2</v>
      </c>
      <c r="AK105" s="21">
        <f t="shared" si="262"/>
        <v>0</v>
      </c>
      <c r="AL105" s="21">
        <f t="shared" si="263"/>
        <v>2</v>
      </c>
      <c r="AM105" s="21">
        <f t="shared" si="264"/>
        <v>0</v>
      </c>
      <c r="AN105" s="21">
        <f>VLOOKUP($L105,EQP!$A$2:$S$10,11,0)</f>
        <v>205</v>
      </c>
      <c r="AO105" s="21">
        <f>VLOOKUP($L105,EQP!$A$2:$S$10,12,0)</f>
        <v>360</v>
      </c>
      <c r="AP105" s="21">
        <f>VLOOKUP($L105,EQP!$A$2:$S$10,13,0)</f>
        <v>560</v>
      </c>
      <c r="AQ105" s="21">
        <f t="shared" si="237"/>
        <v>0</v>
      </c>
      <c r="AR105" s="21">
        <f t="shared" si="238"/>
        <v>1</v>
      </c>
      <c r="AS105" s="21">
        <f t="shared" si="239"/>
        <v>3</v>
      </c>
      <c r="AT105" s="21">
        <f t="shared" si="265"/>
        <v>0</v>
      </c>
      <c r="AU105" s="21">
        <f t="shared" si="266"/>
        <v>3</v>
      </c>
      <c r="AV105" s="21">
        <f t="shared" si="267"/>
        <v>0</v>
      </c>
      <c r="AW105" s="21">
        <f>VLOOKUP($L105,EQP!$A$2:$S$10,14,0)</f>
        <v>360</v>
      </c>
      <c r="AX105" s="21">
        <f>VLOOKUP($L105,EQP!$A$2:$S$10,15,0)</f>
        <v>205</v>
      </c>
      <c r="AY105" s="21">
        <f>VLOOKUP($L105,EQP!$A$2:$S$10,16,0)</f>
        <v>560</v>
      </c>
      <c r="AZ105" s="21">
        <f t="shared" si="240"/>
        <v>0</v>
      </c>
      <c r="BA105" s="21">
        <f t="shared" si="241"/>
        <v>0</v>
      </c>
      <c r="BB105" s="21">
        <f t="shared" si="242"/>
        <v>3</v>
      </c>
      <c r="BC105" s="21">
        <f t="shared" si="268"/>
        <v>0</v>
      </c>
      <c r="BD105" s="21">
        <f t="shared" si="269"/>
        <v>3</v>
      </c>
      <c r="BE105" s="21">
        <f t="shared" si="270"/>
        <v>0</v>
      </c>
      <c r="BF105" s="21">
        <f>VLOOKUP($L105,EQP!$A$2:$S$10,17,0)</f>
        <v>560</v>
      </c>
      <c r="BG105" s="21">
        <f>VLOOKUP($L105,EQP!$A$2:$S$10,18,0)</f>
        <v>205</v>
      </c>
      <c r="BH105" s="21">
        <f>VLOOKUP($L105,EQP!$A$2:$S$10,19,0)</f>
        <v>360</v>
      </c>
      <c r="BI105" s="21">
        <f t="shared" si="243"/>
        <v>1</v>
      </c>
      <c r="BJ105" s="21">
        <f t="shared" si="244"/>
        <v>0</v>
      </c>
      <c r="BK105" s="21">
        <f t="shared" si="245"/>
        <v>2</v>
      </c>
      <c r="BL105" s="21">
        <f t="shared" si="271"/>
        <v>0</v>
      </c>
      <c r="BM105" s="21">
        <f t="shared" si="272"/>
        <v>2</v>
      </c>
      <c r="BN105" s="21">
        <f t="shared" si="273"/>
        <v>0</v>
      </c>
    </row>
    <row r="106" spans="1:66" x14ac:dyDescent="0.3">
      <c r="A106" s="5" t="str">
        <f t="shared" si="180"/>
        <v>1</v>
      </c>
      <c r="B106" s="6">
        <f t="shared" si="246"/>
        <v>6</v>
      </c>
      <c r="C106" s="7">
        <f t="shared" si="247"/>
        <v>14007839</v>
      </c>
      <c r="D106" s="7" t="str">
        <f t="shared" si="248"/>
        <v>PASSENGER SIDE KNEE COVER RHD ASSY</v>
      </c>
      <c r="E106" s="6">
        <f t="shared" si="249"/>
        <v>380</v>
      </c>
      <c r="F106" s="6">
        <f t="shared" si="250"/>
        <v>110</v>
      </c>
      <c r="G106" s="6">
        <f t="shared" si="251"/>
        <v>295</v>
      </c>
      <c r="H106" s="6">
        <f t="shared" si="252"/>
        <v>64</v>
      </c>
      <c r="I106" s="6">
        <f t="shared" si="253"/>
        <v>1</v>
      </c>
      <c r="J106" s="6">
        <f t="shared" si="254"/>
        <v>64</v>
      </c>
      <c r="K106" s="6">
        <f t="shared" si="255"/>
        <v>50</v>
      </c>
      <c r="L106" s="5" t="str">
        <f t="shared" si="274"/>
        <v>Crate (600 x 400 x 220) mm</v>
      </c>
      <c r="M106" s="21">
        <f>VLOOKUP($L106,EQP!$A$2:$S$10,2,0)</f>
        <v>560</v>
      </c>
      <c r="N106" s="21">
        <f>VLOOKUP($L106,EQP!$A$2:$S$10,3,0)</f>
        <v>360</v>
      </c>
      <c r="O106" s="21">
        <f>VLOOKUP($L106,EQP!$A$2:$S$10,4,0)</f>
        <v>205</v>
      </c>
      <c r="P106" s="21">
        <f t="shared" si="228"/>
        <v>1</v>
      </c>
      <c r="Q106" s="21">
        <f t="shared" si="229"/>
        <v>3</v>
      </c>
      <c r="R106" s="21">
        <f t="shared" si="230"/>
        <v>0</v>
      </c>
      <c r="S106" s="21">
        <f t="shared" si="256"/>
        <v>3</v>
      </c>
      <c r="T106" s="21">
        <f t="shared" si="257"/>
        <v>0</v>
      </c>
      <c r="U106" s="21">
        <f t="shared" si="258"/>
        <v>0</v>
      </c>
      <c r="V106" s="21">
        <f>VLOOKUP($L106,EQP!$A$2:$S$10,5,0)</f>
        <v>360</v>
      </c>
      <c r="W106" s="21">
        <f>VLOOKUP($L106,EQP!$A$2:$S$10,6,0)</f>
        <v>560</v>
      </c>
      <c r="X106" s="21">
        <f>VLOOKUP($L106,EQP!$A$2:$S$10,7,0)</f>
        <v>205</v>
      </c>
      <c r="Y106" s="21">
        <f t="shared" si="231"/>
        <v>0</v>
      </c>
      <c r="Z106" s="21">
        <f t="shared" si="232"/>
        <v>4</v>
      </c>
      <c r="AA106" s="21">
        <f t="shared" si="233"/>
        <v>0</v>
      </c>
      <c r="AB106" s="21">
        <f t="shared" si="259"/>
        <v>0</v>
      </c>
      <c r="AC106" s="21">
        <f t="shared" si="260"/>
        <v>0</v>
      </c>
      <c r="AD106" s="21">
        <f t="shared" si="261"/>
        <v>0</v>
      </c>
      <c r="AE106" s="21">
        <f>VLOOKUP($L106,EQP!$A$2:$S$10,8,0)</f>
        <v>205</v>
      </c>
      <c r="AF106" s="21">
        <f>VLOOKUP($L106,EQP!$A$2:$S$10,9,0)</f>
        <v>560</v>
      </c>
      <c r="AG106" s="21">
        <f>VLOOKUP($L106,EQP!$A$2:$S$10,10,0)</f>
        <v>360</v>
      </c>
      <c r="AH106" s="21">
        <f t="shared" si="234"/>
        <v>0</v>
      </c>
      <c r="AI106" s="21">
        <f t="shared" si="235"/>
        <v>4</v>
      </c>
      <c r="AJ106" s="21">
        <f t="shared" si="236"/>
        <v>1</v>
      </c>
      <c r="AK106" s="21">
        <f t="shared" si="262"/>
        <v>0</v>
      </c>
      <c r="AL106" s="21">
        <f t="shared" si="263"/>
        <v>1</v>
      </c>
      <c r="AM106" s="21">
        <f t="shared" si="264"/>
        <v>0</v>
      </c>
      <c r="AN106" s="21">
        <f>VLOOKUP($L106,EQP!$A$2:$S$10,11,0)</f>
        <v>205</v>
      </c>
      <c r="AO106" s="21">
        <f>VLOOKUP($L106,EQP!$A$2:$S$10,12,0)</f>
        <v>360</v>
      </c>
      <c r="AP106" s="21">
        <f>VLOOKUP($L106,EQP!$A$2:$S$10,13,0)</f>
        <v>560</v>
      </c>
      <c r="AQ106" s="21">
        <f t="shared" si="237"/>
        <v>0</v>
      </c>
      <c r="AR106" s="21">
        <f t="shared" si="238"/>
        <v>3</v>
      </c>
      <c r="AS106" s="21">
        <f t="shared" si="239"/>
        <v>1</v>
      </c>
      <c r="AT106" s="21">
        <f t="shared" si="265"/>
        <v>0</v>
      </c>
      <c r="AU106" s="21">
        <f t="shared" si="266"/>
        <v>1</v>
      </c>
      <c r="AV106" s="21">
        <f t="shared" si="267"/>
        <v>0</v>
      </c>
      <c r="AW106" s="21">
        <f>VLOOKUP($L106,EQP!$A$2:$S$10,14,0)</f>
        <v>360</v>
      </c>
      <c r="AX106" s="21">
        <f>VLOOKUP($L106,EQP!$A$2:$S$10,15,0)</f>
        <v>205</v>
      </c>
      <c r="AY106" s="21">
        <f>VLOOKUP($L106,EQP!$A$2:$S$10,16,0)</f>
        <v>560</v>
      </c>
      <c r="AZ106" s="21">
        <f t="shared" si="240"/>
        <v>0</v>
      </c>
      <c r="BA106" s="21">
        <f t="shared" si="241"/>
        <v>1</v>
      </c>
      <c r="BB106" s="21">
        <f t="shared" si="242"/>
        <v>1</v>
      </c>
      <c r="BC106" s="21">
        <f t="shared" si="268"/>
        <v>0</v>
      </c>
      <c r="BD106" s="21">
        <f t="shared" si="269"/>
        <v>1</v>
      </c>
      <c r="BE106" s="21">
        <f t="shared" si="270"/>
        <v>0</v>
      </c>
      <c r="BF106" s="21">
        <f>VLOOKUP($L106,EQP!$A$2:$S$10,17,0)</f>
        <v>560</v>
      </c>
      <c r="BG106" s="21">
        <f>VLOOKUP($L106,EQP!$A$2:$S$10,18,0)</f>
        <v>205</v>
      </c>
      <c r="BH106" s="21">
        <f>VLOOKUP($L106,EQP!$A$2:$S$10,19,0)</f>
        <v>360</v>
      </c>
      <c r="BI106" s="21">
        <f t="shared" si="243"/>
        <v>1</v>
      </c>
      <c r="BJ106" s="21">
        <f t="shared" si="244"/>
        <v>1</v>
      </c>
      <c r="BK106" s="21">
        <f t="shared" si="245"/>
        <v>1</v>
      </c>
      <c r="BL106" s="21">
        <f t="shared" si="271"/>
        <v>1</v>
      </c>
      <c r="BM106" s="21">
        <f t="shared" si="272"/>
        <v>1</v>
      </c>
      <c r="BN106" s="21">
        <f t="shared" si="273"/>
        <v>1</v>
      </c>
    </row>
    <row r="107" spans="1:66" x14ac:dyDescent="0.3">
      <c r="A107" s="5" t="str">
        <f t="shared" si="180"/>
        <v>1</v>
      </c>
      <c r="B107" s="6">
        <f t="shared" si="246"/>
        <v>7</v>
      </c>
      <c r="C107" s="7">
        <f t="shared" si="247"/>
        <v>14007840</v>
      </c>
      <c r="D107" s="7" t="str">
        <f t="shared" si="248"/>
        <v>END CAP LH ASSY</v>
      </c>
      <c r="E107" s="6">
        <f t="shared" si="249"/>
        <v>130</v>
      </c>
      <c r="F107" s="6">
        <f t="shared" si="250"/>
        <v>50</v>
      </c>
      <c r="G107" s="6">
        <f t="shared" si="251"/>
        <v>385</v>
      </c>
      <c r="H107" s="6">
        <f t="shared" si="252"/>
        <v>192</v>
      </c>
      <c r="I107" s="6">
        <f t="shared" si="253"/>
        <v>1</v>
      </c>
      <c r="J107" s="6">
        <f t="shared" si="254"/>
        <v>192</v>
      </c>
      <c r="K107" s="6">
        <f t="shared" si="255"/>
        <v>18</v>
      </c>
      <c r="L107" s="5" t="str">
        <f t="shared" si="274"/>
        <v>Crate (600 x 400 x 220) mm</v>
      </c>
      <c r="M107" s="21">
        <f>VLOOKUP($L107,EQP!$A$2:$S$10,2,0)</f>
        <v>560</v>
      </c>
      <c r="N107" s="21">
        <f>VLOOKUP($L107,EQP!$A$2:$S$10,3,0)</f>
        <v>360</v>
      </c>
      <c r="O107" s="21">
        <f>VLOOKUP($L107,EQP!$A$2:$S$10,4,0)</f>
        <v>205</v>
      </c>
      <c r="P107" s="21">
        <f t="shared" si="228"/>
        <v>4</v>
      </c>
      <c r="Q107" s="21">
        <f t="shared" si="229"/>
        <v>6</v>
      </c>
      <c r="R107" s="21">
        <f t="shared" si="230"/>
        <v>0</v>
      </c>
      <c r="S107" s="21">
        <f t="shared" si="256"/>
        <v>24</v>
      </c>
      <c r="T107" s="21">
        <f t="shared" si="257"/>
        <v>0</v>
      </c>
      <c r="U107" s="21">
        <f t="shared" si="258"/>
        <v>0</v>
      </c>
      <c r="V107" s="21">
        <f>VLOOKUP($L107,EQP!$A$2:$S$10,5,0)</f>
        <v>360</v>
      </c>
      <c r="W107" s="21">
        <f>VLOOKUP($L107,EQP!$A$2:$S$10,6,0)</f>
        <v>560</v>
      </c>
      <c r="X107" s="21">
        <f>VLOOKUP($L107,EQP!$A$2:$S$10,7,0)</f>
        <v>205</v>
      </c>
      <c r="Y107" s="21">
        <f t="shared" si="231"/>
        <v>2</v>
      </c>
      <c r="Z107" s="21">
        <f t="shared" si="232"/>
        <v>10</v>
      </c>
      <c r="AA107" s="21">
        <f t="shared" si="233"/>
        <v>0</v>
      </c>
      <c r="AB107" s="21">
        <f t="shared" si="259"/>
        <v>20</v>
      </c>
      <c r="AC107" s="21">
        <f t="shared" si="260"/>
        <v>0</v>
      </c>
      <c r="AD107" s="21">
        <f t="shared" si="261"/>
        <v>0</v>
      </c>
      <c r="AE107" s="21">
        <f>VLOOKUP($L107,EQP!$A$2:$S$10,8,0)</f>
        <v>205</v>
      </c>
      <c r="AF107" s="21">
        <f>VLOOKUP($L107,EQP!$A$2:$S$10,9,0)</f>
        <v>560</v>
      </c>
      <c r="AG107" s="21">
        <f>VLOOKUP($L107,EQP!$A$2:$S$10,10,0)</f>
        <v>360</v>
      </c>
      <c r="AH107" s="21">
        <f t="shared" si="234"/>
        <v>1</v>
      </c>
      <c r="AI107" s="21">
        <f t="shared" si="235"/>
        <v>10</v>
      </c>
      <c r="AJ107" s="21">
        <f t="shared" si="236"/>
        <v>0</v>
      </c>
      <c r="AK107" s="21">
        <f t="shared" si="262"/>
        <v>10</v>
      </c>
      <c r="AL107" s="21">
        <f t="shared" si="263"/>
        <v>0</v>
      </c>
      <c r="AM107" s="21">
        <f t="shared" si="264"/>
        <v>0</v>
      </c>
      <c r="AN107" s="21">
        <f>VLOOKUP($L107,EQP!$A$2:$S$10,11,0)</f>
        <v>205</v>
      </c>
      <c r="AO107" s="21">
        <f>VLOOKUP($L107,EQP!$A$2:$S$10,12,0)</f>
        <v>360</v>
      </c>
      <c r="AP107" s="21">
        <f>VLOOKUP($L107,EQP!$A$2:$S$10,13,0)</f>
        <v>560</v>
      </c>
      <c r="AQ107" s="21">
        <f t="shared" si="237"/>
        <v>1</v>
      </c>
      <c r="AR107" s="21">
        <f t="shared" si="238"/>
        <v>6</v>
      </c>
      <c r="AS107" s="21">
        <f t="shared" si="239"/>
        <v>1</v>
      </c>
      <c r="AT107" s="21">
        <f t="shared" si="265"/>
        <v>6</v>
      </c>
      <c r="AU107" s="21">
        <f t="shared" si="266"/>
        <v>1</v>
      </c>
      <c r="AV107" s="21">
        <f t="shared" si="267"/>
        <v>6</v>
      </c>
      <c r="AW107" s="21">
        <f>VLOOKUP($L107,EQP!$A$2:$S$10,14,0)</f>
        <v>360</v>
      </c>
      <c r="AX107" s="21">
        <f>VLOOKUP($L107,EQP!$A$2:$S$10,15,0)</f>
        <v>205</v>
      </c>
      <c r="AY107" s="21">
        <f>VLOOKUP($L107,EQP!$A$2:$S$10,16,0)</f>
        <v>560</v>
      </c>
      <c r="AZ107" s="21">
        <f t="shared" si="240"/>
        <v>2</v>
      </c>
      <c r="BA107" s="21">
        <f t="shared" si="241"/>
        <v>3</v>
      </c>
      <c r="BB107" s="21">
        <f t="shared" si="242"/>
        <v>1</v>
      </c>
      <c r="BC107" s="21">
        <f t="shared" si="268"/>
        <v>6</v>
      </c>
      <c r="BD107" s="21">
        <f t="shared" si="269"/>
        <v>1</v>
      </c>
      <c r="BE107" s="21">
        <f t="shared" si="270"/>
        <v>6</v>
      </c>
      <c r="BF107" s="21">
        <f>VLOOKUP($L107,EQP!$A$2:$S$10,17,0)</f>
        <v>560</v>
      </c>
      <c r="BG107" s="21">
        <f>VLOOKUP($L107,EQP!$A$2:$S$10,18,0)</f>
        <v>205</v>
      </c>
      <c r="BH107" s="21">
        <f>VLOOKUP($L107,EQP!$A$2:$S$10,19,0)</f>
        <v>360</v>
      </c>
      <c r="BI107" s="21">
        <f t="shared" si="243"/>
        <v>4</v>
      </c>
      <c r="BJ107" s="21">
        <f t="shared" si="244"/>
        <v>3</v>
      </c>
      <c r="BK107" s="21">
        <f t="shared" si="245"/>
        <v>0</v>
      </c>
      <c r="BL107" s="21">
        <f t="shared" si="271"/>
        <v>12</v>
      </c>
      <c r="BM107" s="21">
        <f t="shared" si="272"/>
        <v>0</v>
      </c>
      <c r="BN107" s="21">
        <f t="shared" si="273"/>
        <v>0</v>
      </c>
    </row>
    <row r="108" spans="1:66" x14ac:dyDescent="0.3">
      <c r="A108" s="5" t="str">
        <f t="shared" si="180"/>
        <v>1</v>
      </c>
      <c r="B108" s="6">
        <f t="shared" si="246"/>
        <v>8</v>
      </c>
      <c r="C108" s="7">
        <f t="shared" si="247"/>
        <v>14007841</v>
      </c>
      <c r="D108" s="7" t="str">
        <f t="shared" si="248"/>
        <v>END CAP RH ASSY</v>
      </c>
      <c r="E108" s="6">
        <f t="shared" si="249"/>
        <v>130</v>
      </c>
      <c r="F108" s="6">
        <f t="shared" si="250"/>
        <v>50</v>
      </c>
      <c r="G108" s="6">
        <f t="shared" si="251"/>
        <v>385</v>
      </c>
      <c r="H108" s="6">
        <f t="shared" si="252"/>
        <v>192</v>
      </c>
      <c r="I108" s="6">
        <f t="shared" si="253"/>
        <v>1</v>
      </c>
      <c r="J108" s="6">
        <f t="shared" si="254"/>
        <v>192</v>
      </c>
      <c r="K108" s="6">
        <f t="shared" si="255"/>
        <v>18</v>
      </c>
      <c r="L108" s="5" t="str">
        <f t="shared" si="274"/>
        <v>Crate (600 x 400 x 220) mm</v>
      </c>
      <c r="M108" s="21">
        <f>VLOOKUP($L108,EQP!$A$2:$S$10,2,0)</f>
        <v>560</v>
      </c>
      <c r="N108" s="21">
        <f>VLOOKUP($L108,EQP!$A$2:$S$10,3,0)</f>
        <v>360</v>
      </c>
      <c r="O108" s="21">
        <f>VLOOKUP($L108,EQP!$A$2:$S$10,4,0)</f>
        <v>205</v>
      </c>
      <c r="P108" s="21">
        <f t="shared" si="228"/>
        <v>4</v>
      </c>
      <c r="Q108" s="21">
        <f t="shared" si="229"/>
        <v>6</v>
      </c>
      <c r="R108" s="21">
        <f t="shared" si="230"/>
        <v>0</v>
      </c>
      <c r="S108" s="21">
        <f t="shared" si="256"/>
        <v>24</v>
      </c>
      <c r="T108" s="21">
        <f t="shared" si="257"/>
        <v>0</v>
      </c>
      <c r="U108" s="21">
        <f t="shared" si="258"/>
        <v>0</v>
      </c>
      <c r="V108" s="21">
        <f>VLOOKUP($L108,EQP!$A$2:$S$10,5,0)</f>
        <v>360</v>
      </c>
      <c r="W108" s="21">
        <f>VLOOKUP($L108,EQP!$A$2:$S$10,6,0)</f>
        <v>560</v>
      </c>
      <c r="X108" s="21">
        <f>VLOOKUP($L108,EQP!$A$2:$S$10,7,0)</f>
        <v>205</v>
      </c>
      <c r="Y108" s="21">
        <f t="shared" si="231"/>
        <v>2</v>
      </c>
      <c r="Z108" s="21">
        <f t="shared" si="232"/>
        <v>10</v>
      </c>
      <c r="AA108" s="21">
        <f t="shared" si="233"/>
        <v>0</v>
      </c>
      <c r="AB108" s="21">
        <f t="shared" si="259"/>
        <v>20</v>
      </c>
      <c r="AC108" s="21">
        <f t="shared" si="260"/>
        <v>0</v>
      </c>
      <c r="AD108" s="21">
        <f t="shared" si="261"/>
        <v>0</v>
      </c>
      <c r="AE108" s="21">
        <f>VLOOKUP($L108,EQP!$A$2:$S$10,8,0)</f>
        <v>205</v>
      </c>
      <c r="AF108" s="21">
        <f>VLOOKUP($L108,EQP!$A$2:$S$10,9,0)</f>
        <v>560</v>
      </c>
      <c r="AG108" s="21">
        <f>VLOOKUP($L108,EQP!$A$2:$S$10,10,0)</f>
        <v>360</v>
      </c>
      <c r="AH108" s="21">
        <f t="shared" si="234"/>
        <v>1</v>
      </c>
      <c r="AI108" s="21">
        <f t="shared" si="235"/>
        <v>10</v>
      </c>
      <c r="AJ108" s="21">
        <f t="shared" si="236"/>
        <v>0</v>
      </c>
      <c r="AK108" s="21">
        <f t="shared" si="262"/>
        <v>10</v>
      </c>
      <c r="AL108" s="21">
        <f t="shared" si="263"/>
        <v>0</v>
      </c>
      <c r="AM108" s="21">
        <f t="shared" si="264"/>
        <v>0</v>
      </c>
      <c r="AN108" s="21">
        <f>VLOOKUP($L108,EQP!$A$2:$S$10,11,0)</f>
        <v>205</v>
      </c>
      <c r="AO108" s="21">
        <f>VLOOKUP($L108,EQP!$A$2:$S$10,12,0)</f>
        <v>360</v>
      </c>
      <c r="AP108" s="21">
        <f>VLOOKUP($L108,EQP!$A$2:$S$10,13,0)</f>
        <v>560</v>
      </c>
      <c r="AQ108" s="21">
        <f t="shared" si="237"/>
        <v>1</v>
      </c>
      <c r="AR108" s="21">
        <f t="shared" si="238"/>
        <v>6</v>
      </c>
      <c r="AS108" s="21">
        <f t="shared" si="239"/>
        <v>1</v>
      </c>
      <c r="AT108" s="21">
        <f t="shared" si="265"/>
        <v>6</v>
      </c>
      <c r="AU108" s="21">
        <f t="shared" si="266"/>
        <v>1</v>
      </c>
      <c r="AV108" s="21">
        <f t="shared" si="267"/>
        <v>6</v>
      </c>
      <c r="AW108" s="21">
        <f>VLOOKUP($L108,EQP!$A$2:$S$10,14,0)</f>
        <v>360</v>
      </c>
      <c r="AX108" s="21">
        <f>VLOOKUP($L108,EQP!$A$2:$S$10,15,0)</f>
        <v>205</v>
      </c>
      <c r="AY108" s="21">
        <f>VLOOKUP($L108,EQP!$A$2:$S$10,16,0)</f>
        <v>560</v>
      </c>
      <c r="AZ108" s="21">
        <f t="shared" si="240"/>
        <v>2</v>
      </c>
      <c r="BA108" s="21">
        <f t="shared" si="241"/>
        <v>3</v>
      </c>
      <c r="BB108" s="21">
        <f t="shared" si="242"/>
        <v>1</v>
      </c>
      <c r="BC108" s="21">
        <f t="shared" si="268"/>
        <v>6</v>
      </c>
      <c r="BD108" s="21">
        <f t="shared" si="269"/>
        <v>1</v>
      </c>
      <c r="BE108" s="21">
        <f t="shared" si="270"/>
        <v>6</v>
      </c>
      <c r="BF108" s="21">
        <f>VLOOKUP($L108,EQP!$A$2:$S$10,17,0)</f>
        <v>560</v>
      </c>
      <c r="BG108" s="21">
        <f>VLOOKUP($L108,EQP!$A$2:$S$10,18,0)</f>
        <v>205</v>
      </c>
      <c r="BH108" s="21">
        <f>VLOOKUP($L108,EQP!$A$2:$S$10,19,0)</f>
        <v>360</v>
      </c>
      <c r="BI108" s="21">
        <f t="shared" si="243"/>
        <v>4</v>
      </c>
      <c r="BJ108" s="21">
        <f t="shared" si="244"/>
        <v>3</v>
      </c>
      <c r="BK108" s="21">
        <f t="shared" si="245"/>
        <v>0</v>
      </c>
      <c r="BL108" s="21">
        <f t="shared" si="271"/>
        <v>12</v>
      </c>
      <c r="BM108" s="21">
        <f t="shared" si="272"/>
        <v>0</v>
      </c>
      <c r="BN108" s="21">
        <f t="shared" si="273"/>
        <v>0</v>
      </c>
    </row>
    <row r="109" spans="1:66" x14ac:dyDescent="0.3">
      <c r="A109" s="5" t="str">
        <f t="shared" si="180"/>
        <v>1</v>
      </c>
      <c r="B109" s="6">
        <f t="shared" si="246"/>
        <v>9</v>
      </c>
      <c r="C109" s="7">
        <f t="shared" si="247"/>
        <v>14007842</v>
      </c>
      <c r="D109" s="7" t="str">
        <f t="shared" si="248"/>
        <v>DRIVER SIDE KNEE COVER RHD ASSY</v>
      </c>
      <c r="E109" s="6">
        <f t="shared" si="249"/>
        <v>170</v>
      </c>
      <c r="F109" s="6">
        <f t="shared" si="250"/>
        <v>70</v>
      </c>
      <c r="G109" s="6">
        <f t="shared" si="251"/>
        <v>265</v>
      </c>
      <c r="H109" s="6">
        <f t="shared" si="252"/>
        <v>80</v>
      </c>
      <c r="I109" s="6">
        <f t="shared" si="253"/>
        <v>1</v>
      </c>
      <c r="J109" s="6">
        <f t="shared" si="254"/>
        <v>80</v>
      </c>
      <c r="K109" s="6">
        <f t="shared" si="255"/>
        <v>40</v>
      </c>
      <c r="L109" s="5" t="str">
        <f t="shared" si="274"/>
        <v>Crate (600 x 400 x 220) mm</v>
      </c>
      <c r="M109" s="21">
        <f>VLOOKUP($L109,EQP!$A$2:$S$10,2,0)</f>
        <v>560</v>
      </c>
      <c r="N109" s="21">
        <f>VLOOKUP($L109,EQP!$A$2:$S$10,3,0)</f>
        <v>360</v>
      </c>
      <c r="O109" s="21">
        <f>VLOOKUP($L109,EQP!$A$2:$S$10,4,0)</f>
        <v>205</v>
      </c>
      <c r="P109" s="21">
        <f t="shared" si="228"/>
        <v>3</v>
      </c>
      <c r="Q109" s="21">
        <f t="shared" si="229"/>
        <v>4</v>
      </c>
      <c r="R109" s="21">
        <f t="shared" si="230"/>
        <v>0</v>
      </c>
      <c r="S109" s="21">
        <f t="shared" si="256"/>
        <v>12</v>
      </c>
      <c r="T109" s="21">
        <f t="shared" si="257"/>
        <v>0</v>
      </c>
      <c r="U109" s="21">
        <f t="shared" si="258"/>
        <v>0</v>
      </c>
      <c r="V109" s="21">
        <f>VLOOKUP($L109,EQP!$A$2:$S$10,5,0)</f>
        <v>360</v>
      </c>
      <c r="W109" s="21">
        <f>VLOOKUP($L109,EQP!$A$2:$S$10,6,0)</f>
        <v>560</v>
      </c>
      <c r="X109" s="21">
        <f>VLOOKUP($L109,EQP!$A$2:$S$10,7,0)</f>
        <v>205</v>
      </c>
      <c r="Y109" s="21">
        <f t="shared" si="231"/>
        <v>2</v>
      </c>
      <c r="Z109" s="21">
        <f t="shared" si="232"/>
        <v>7</v>
      </c>
      <c r="AA109" s="21">
        <f t="shared" si="233"/>
        <v>0</v>
      </c>
      <c r="AB109" s="21">
        <f t="shared" si="259"/>
        <v>14</v>
      </c>
      <c r="AC109" s="21">
        <f t="shared" si="260"/>
        <v>0</v>
      </c>
      <c r="AD109" s="21">
        <f t="shared" si="261"/>
        <v>0</v>
      </c>
      <c r="AE109" s="21">
        <f>VLOOKUP($L109,EQP!$A$2:$S$10,8,0)</f>
        <v>205</v>
      </c>
      <c r="AF109" s="21">
        <f>VLOOKUP($L109,EQP!$A$2:$S$10,9,0)</f>
        <v>560</v>
      </c>
      <c r="AG109" s="21">
        <f>VLOOKUP($L109,EQP!$A$2:$S$10,10,0)</f>
        <v>360</v>
      </c>
      <c r="AH109" s="21">
        <f t="shared" si="234"/>
        <v>1</v>
      </c>
      <c r="AI109" s="21">
        <f t="shared" si="235"/>
        <v>7</v>
      </c>
      <c r="AJ109" s="21">
        <f t="shared" si="236"/>
        <v>1</v>
      </c>
      <c r="AK109" s="21">
        <f t="shared" si="262"/>
        <v>7</v>
      </c>
      <c r="AL109" s="21">
        <f t="shared" si="263"/>
        <v>1</v>
      </c>
      <c r="AM109" s="21">
        <f t="shared" si="264"/>
        <v>7</v>
      </c>
      <c r="AN109" s="21">
        <f>VLOOKUP($L109,EQP!$A$2:$S$10,11,0)</f>
        <v>205</v>
      </c>
      <c r="AO109" s="21">
        <f>VLOOKUP($L109,EQP!$A$2:$S$10,12,0)</f>
        <v>360</v>
      </c>
      <c r="AP109" s="21">
        <f>VLOOKUP($L109,EQP!$A$2:$S$10,13,0)</f>
        <v>560</v>
      </c>
      <c r="AQ109" s="21">
        <f t="shared" si="237"/>
        <v>1</v>
      </c>
      <c r="AR109" s="21">
        <f t="shared" si="238"/>
        <v>4</v>
      </c>
      <c r="AS109" s="21">
        <f t="shared" si="239"/>
        <v>2</v>
      </c>
      <c r="AT109" s="21">
        <f t="shared" si="265"/>
        <v>4</v>
      </c>
      <c r="AU109" s="21">
        <f t="shared" si="266"/>
        <v>2</v>
      </c>
      <c r="AV109" s="21">
        <f t="shared" si="267"/>
        <v>8</v>
      </c>
      <c r="AW109" s="21">
        <f>VLOOKUP($L109,EQP!$A$2:$S$10,14,0)</f>
        <v>360</v>
      </c>
      <c r="AX109" s="21">
        <f>VLOOKUP($L109,EQP!$A$2:$S$10,15,0)</f>
        <v>205</v>
      </c>
      <c r="AY109" s="21">
        <f>VLOOKUP($L109,EQP!$A$2:$S$10,16,0)</f>
        <v>560</v>
      </c>
      <c r="AZ109" s="21">
        <f t="shared" si="240"/>
        <v>2</v>
      </c>
      <c r="BA109" s="21">
        <f t="shared" si="241"/>
        <v>2</v>
      </c>
      <c r="BB109" s="21">
        <f t="shared" si="242"/>
        <v>2</v>
      </c>
      <c r="BC109" s="21">
        <f t="shared" si="268"/>
        <v>4</v>
      </c>
      <c r="BD109" s="21">
        <f t="shared" si="269"/>
        <v>2</v>
      </c>
      <c r="BE109" s="21">
        <f t="shared" si="270"/>
        <v>8</v>
      </c>
      <c r="BF109" s="21">
        <f>VLOOKUP($L109,EQP!$A$2:$S$10,17,0)</f>
        <v>560</v>
      </c>
      <c r="BG109" s="21">
        <f>VLOOKUP($L109,EQP!$A$2:$S$10,18,0)</f>
        <v>205</v>
      </c>
      <c r="BH109" s="21">
        <f>VLOOKUP($L109,EQP!$A$2:$S$10,19,0)</f>
        <v>360</v>
      </c>
      <c r="BI109" s="21">
        <f t="shared" si="243"/>
        <v>3</v>
      </c>
      <c r="BJ109" s="21">
        <f t="shared" si="244"/>
        <v>2</v>
      </c>
      <c r="BK109" s="21">
        <f t="shared" si="245"/>
        <v>1</v>
      </c>
      <c r="BL109" s="21">
        <f t="shared" si="271"/>
        <v>6</v>
      </c>
      <c r="BM109" s="21">
        <f t="shared" si="272"/>
        <v>1</v>
      </c>
      <c r="BN109" s="21">
        <f t="shared" si="273"/>
        <v>6</v>
      </c>
    </row>
    <row r="110" spans="1:66" x14ac:dyDescent="0.3">
      <c r="A110" s="5" t="str">
        <f t="shared" si="180"/>
        <v>1</v>
      </c>
      <c r="B110" s="6">
        <f t="shared" si="246"/>
        <v>10</v>
      </c>
      <c r="C110" s="7">
        <f t="shared" si="247"/>
        <v>14007843</v>
      </c>
      <c r="D110" s="7" t="str">
        <f t="shared" si="248"/>
        <v>DIN_BIN</v>
      </c>
      <c r="E110" s="6">
        <f t="shared" si="249"/>
        <v>225</v>
      </c>
      <c r="F110" s="6">
        <f t="shared" si="250"/>
        <v>70</v>
      </c>
      <c r="G110" s="6">
        <f t="shared" si="251"/>
        <v>310</v>
      </c>
      <c r="H110" s="6">
        <f t="shared" si="252"/>
        <v>192</v>
      </c>
      <c r="I110" s="6">
        <f t="shared" si="253"/>
        <v>3</v>
      </c>
      <c r="J110" s="6">
        <f t="shared" si="254"/>
        <v>576</v>
      </c>
      <c r="K110" s="6">
        <f t="shared" si="255"/>
        <v>6</v>
      </c>
      <c r="L110" s="5" t="str">
        <f t="shared" si="274"/>
        <v>Crate (600 x 400 x 220) mm</v>
      </c>
      <c r="M110" s="21">
        <f>VLOOKUP($L110,EQP!$A$2:$S$10,2,0)</f>
        <v>560</v>
      </c>
      <c r="N110" s="21">
        <f>VLOOKUP($L110,EQP!$A$2:$S$10,3,0)</f>
        <v>360</v>
      </c>
      <c r="O110" s="21">
        <f>VLOOKUP($L110,EQP!$A$2:$S$10,4,0)</f>
        <v>205</v>
      </c>
      <c r="P110" s="21">
        <f t="shared" si="228"/>
        <v>2</v>
      </c>
      <c r="Q110" s="21">
        <f t="shared" si="229"/>
        <v>4</v>
      </c>
      <c r="R110" s="21">
        <f t="shared" si="230"/>
        <v>0</v>
      </c>
      <c r="S110" s="21">
        <f t="shared" si="256"/>
        <v>8</v>
      </c>
      <c r="T110" s="21">
        <f t="shared" si="257"/>
        <v>0</v>
      </c>
      <c r="U110" s="21">
        <f t="shared" si="258"/>
        <v>0</v>
      </c>
      <c r="V110" s="21">
        <f>VLOOKUP($L110,EQP!$A$2:$S$10,5,0)</f>
        <v>360</v>
      </c>
      <c r="W110" s="21">
        <f>VLOOKUP($L110,EQP!$A$2:$S$10,6,0)</f>
        <v>560</v>
      </c>
      <c r="X110" s="21">
        <f>VLOOKUP($L110,EQP!$A$2:$S$10,7,0)</f>
        <v>205</v>
      </c>
      <c r="Y110" s="21">
        <f t="shared" si="231"/>
        <v>1</v>
      </c>
      <c r="Z110" s="21">
        <f t="shared" si="232"/>
        <v>7</v>
      </c>
      <c r="AA110" s="21">
        <f t="shared" si="233"/>
        <v>0</v>
      </c>
      <c r="AB110" s="21">
        <f t="shared" si="259"/>
        <v>7</v>
      </c>
      <c r="AC110" s="21">
        <f t="shared" si="260"/>
        <v>0</v>
      </c>
      <c r="AD110" s="21">
        <f t="shared" si="261"/>
        <v>0</v>
      </c>
      <c r="AE110" s="21">
        <f>VLOOKUP($L110,EQP!$A$2:$S$10,8,0)</f>
        <v>205</v>
      </c>
      <c r="AF110" s="21">
        <f>VLOOKUP($L110,EQP!$A$2:$S$10,9,0)</f>
        <v>560</v>
      </c>
      <c r="AG110" s="21">
        <f>VLOOKUP($L110,EQP!$A$2:$S$10,10,0)</f>
        <v>360</v>
      </c>
      <c r="AH110" s="21">
        <f t="shared" si="234"/>
        <v>0</v>
      </c>
      <c r="AI110" s="21">
        <f t="shared" si="235"/>
        <v>7</v>
      </c>
      <c r="AJ110" s="21">
        <f t="shared" si="236"/>
        <v>1</v>
      </c>
      <c r="AK110" s="21">
        <f t="shared" si="262"/>
        <v>0</v>
      </c>
      <c r="AL110" s="21">
        <f t="shared" si="263"/>
        <v>1</v>
      </c>
      <c r="AM110" s="21">
        <f t="shared" si="264"/>
        <v>0</v>
      </c>
      <c r="AN110" s="21">
        <f>VLOOKUP($L110,EQP!$A$2:$S$10,11,0)</f>
        <v>205</v>
      </c>
      <c r="AO110" s="21">
        <f>VLOOKUP($L110,EQP!$A$2:$S$10,12,0)</f>
        <v>360</v>
      </c>
      <c r="AP110" s="21">
        <f>VLOOKUP($L110,EQP!$A$2:$S$10,13,0)</f>
        <v>560</v>
      </c>
      <c r="AQ110" s="21">
        <f t="shared" si="237"/>
        <v>0</v>
      </c>
      <c r="AR110" s="21">
        <f t="shared" si="238"/>
        <v>4</v>
      </c>
      <c r="AS110" s="21">
        <f t="shared" si="239"/>
        <v>1</v>
      </c>
      <c r="AT110" s="21">
        <f t="shared" si="265"/>
        <v>0</v>
      </c>
      <c r="AU110" s="21">
        <f t="shared" si="266"/>
        <v>1</v>
      </c>
      <c r="AV110" s="21">
        <f t="shared" si="267"/>
        <v>0</v>
      </c>
      <c r="AW110" s="21">
        <f>VLOOKUP($L110,EQP!$A$2:$S$10,14,0)</f>
        <v>360</v>
      </c>
      <c r="AX110" s="21">
        <f>VLOOKUP($L110,EQP!$A$2:$S$10,15,0)</f>
        <v>205</v>
      </c>
      <c r="AY110" s="21">
        <f>VLOOKUP($L110,EQP!$A$2:$S$10,16,0)</f>
        <v>560</v>
      </c>
      <c r="AZ110" s="21">
        <f t="shared" si="240"/>
        <v>1</v>
      </c>
      <c r="BA110" s="21">
        <f t="shared" si="241"/>
        <v>2</v>
      </c>
      <c r="BB110" s="21">
        <f t="shared" si="242"/>
        <v>1</v>
      </c>
      <c r="BC110" s="21">
        <f t="shared" si="268"/>
        <v>2</v>
      </c>
      <c r="BD110" s="21">
        <f t="shared" si="269"/>
        <v>1</v>
      </c>
      <c r="BE110" s="21">
        <f t="shared" si="270"/>
        <v>2</v>
      </c>
      <c r="BF110" s="21">
        <f>VLOOKUP($L110,EQP!$A$2:$S$10,17,0)</f>
        <v>560</v>
      </c>
      <c r="BG110" s="21">
        <f>VLOOKUP($L110,EQP!$A$2:$S$10,18,0)</f>
        <v>205</v>
      </c>
      <c r="BH110" s="21">
        <f>VLOOKUP($L110,EQP!$A$2:$S$10,19,0)</f>
        <v>360</v>
      </c>
      <c r="BI110" s="21">
        <f t="shared" si="243"/>
        <v>2</v>
      </c>
      <c r="BJ110" s="21">
        <f t="shared" si="244"/>
        <v>2</v>
      </c>
      <c r="BK110" s="21">
        <f t="shared" si="245"/>
        <v>1</v>
      </c>
      <c r="BL110" s="21">
        <f t="shared" si="271"/>
        <v>4</v>
      </c>
      <c r="BM110" s="21">
        <f t="shared" si="272"/>
        <v>1</v>
      </c>
      <c r="BN110" s="21">
        <f t="shared" si="273"/>
        <v>4</v>
      </c>
    </row>
    <row r="111" spans="1:66" x14ac:dyDescent="0.3">
      <c r="A111" s="5" t="str">
        <f t="shared" si="180"/>
        <v/>
      </c>
    </row>
    <row r="112" spans="1:66" x14ac:dyDescent="0.3">
      <c r="A112" s="5" t="str">
        <f t="shared" si="180"/>
        <v/>
      </c>
    </row>
    <row r="113" spans="1:66" x14ac:dyDescent="0.3">
      <c r="A113" s="5" t="str">
        <f t="shared" si="180"/>
        <v/>
      </c>
    </row>
    <row r="114" spans="1:66" x14ac:dyDescent="0.3">
      <c r="A114" s="5" t="str">
        <f t="shared" si="180"/>
        <v/>
      </c>
    </row>
    <row r="115" spans="1:66" x14ac:dyDescent="0.3">
      <c r="A115" s="5" t="str">
        <f t="shared" si="180"/>
        <v/>
      </c>
    </row>
    <row r="116" spans="1:66" x14ac:dyDescent="0.3">
      <c r="A116" s="5" t="str">
        <f t="shared" si="180"/>
        <v/>
      </c>
    </row>
    <row r="117" spans="1:66" x14ac:dyDescent="0.3">
      <c r="A117" s="5" t="str">
        <f t="shared" si="180"/>
        <v/>
      </c>
    </row>
    <row r="118" spans="1:66" x14ac:dyDescent="0.3">
      <c r="A118" s="5" t="str">
        <f t="shared" si="180"/>
        <v/>
      </c>
    </row>
    <row r="119" spans="1:66" x14ac:dyDescent="0.3">
      <c r="A119" s="5" t="str">
        <f t="shared" si="180"/>
        <v/>
      </c>
    </row>
    <row r="120" spans="1:66" x14ac:dyDescent="0.3">
      <c r="A120" s="5" t="str">
        <f t="shared" si="180"/>
        <v/>
      </c>
    </row>
    <row r="121" spans="1:66" x14ac:dyDescent="0.3">
      <c r="A121" s="5" t="str">
        <f t="shared" si="180"/>
        <v>1</v>
      </c>
      <c r="B121" s="6">
        <f>$B101</f>
        <v>1</v>
      </c>
      <c r="C121" s="7">
        <f>$C101</f>
        <v>14007834</v>
      </c>
      <c r="D121" s="7" t="str">
        <f>$D101</f>
        <v>2.0_M_CENTER BEZEL PREMIUM ASSY</v>
      </c>
      <c r="E121" s="6">
        <f>$E101</f>
        <v>274</v>
      </c>
      <c r="F121" s="6">
        <f>$F101</f>
        <v>76</v>
      </c>
      <c r="G121" s="6">
        <f>$G101</f>
        <v>620</v>
      </c>
      <c r="H121" s="6">
        <f>$H101</f>
        <v>44</v>
      </c>
      <c r="I121" s="6">
        <f>$I101</f>
        <v>1</v>
      </c>
      <c r="J121" s="6">
        <f>$J101</f>
        <v>44</v>
      </c>
      <c r="K121" s="6">
        <f>$K101</f>
        <v>80</v>
      </c>
      <c r="L121" s="5" t="str">
        <f>EQP!A8</f>
        <v>Crate (400 x 300 x 120) mm</v>
      </c>
      <c r="M121" s="21">
        <f>VLOOKUP($L121,EQP!$A$2:$S$10,2,0)</f>
        <v>360</v>
      </c>
      <c r="N121" s="21">
        <f>VLOOKUP($L121,EQP!$A$2:$S$10,3,0)</f>
        <v>260</v>
      </c>
      <c r="O121" s="21">
        <f>VLOOKUP($L121,EQP!$A$2:$S$10,4,0)</f>
        <v>105</v>
      </c>
      <c r="P121" s="21">
        <f t="shared" ref="P121:P130" si="275">ROUNDDOWN($M121/($E121+5),0)</f>
        <v>1</v>
      </c>
      <c r="Q121" s="21">
        <f t="shared" ref="Q121:Q130" si="276">ROUNDDOWN($N121/($F121+5),0)</f>
        <v>3</v>
      </c>
      <c r="R121" s="21">
        <f t="shared" ref="R121:R130" si="277">ROUNDDOWN($O121/($G121+5),0)</f>
        <v>0</v>
      </c>
      <c r="S121" s="21">
        <f>$P121*$Q121</f>
        <v>3</v>
      </c>
      <c r="T121" s="21">
        <f>R121</f>
        <v>0</v>
      </c>
      <c r="U121" s="21">
        <f>S121*T121</f>
        <v>0</v>
      </c>
      <c r="V121" s="21">
        <f>VLOOKUP($L121,EQP!$A$2:$S$10,5,0)</f>
        <v>260</v>
      </c>
      <c r="W121" s="21">
        <f>VLOOKUP($L121,EQP!$A$2:$S$10,6,0)</f>
        <v>360</v>
      </c>
      <c r="X121" s="21">
        <f>VLOOKUP($L121,EQP!$A$2:$S$10,7,0)</f>
        <v>105</v>
      </c>
      <c r="Y121" s="21">
        <f t="shared" ref="Y121:Y130" si="278">ROUNDDOWN($N121/($E121+5),0)</f>
        <v>0</v>
      </c>
      <c r="Z121" s="21">
        <f t="shared" ref="Z121:Z130" si="279">ROUNDDOWN($W121/($F121+5),0)</f>
        <v>4</v>
      </c>
      <c r="AA121" s="21">
        <f t="shared" ref="AA121:AA130" si="280">ROUNDDOWN($X121/($G121+5),0)</f>
        <v>0</v>
      </c>
      <c r="AB121" s="21">
        <f>Y121*Z121</f>
        <v>0</v>
      </c>
      <c r="AC121" s="21">
        <f>AA121</f>
        <v>0</v>
      </c>
      <c r="AD121" s="21">
        <f>AB121*AC121</f>
        <v>0</v>
      </c>
      <c r="AE121" s="21">
        <f>VLOOKUP($L121,EQP!$A$2:$S$10,8,0)</f>
        <v>105</v>
      </c>
      <c r="AF121" s="21">
        <f>VLOOKUP($L121,EQP!$A$2:$S$10,9,0)</f>
        <v>360</v>
      </c>
      <c r="AG121" s="21">
        <f>VLOOKUP($L121,EQP!$A$2:$S$10,10,0)</f>
        <v>260</v>
      </c>
      <c r="AH121" s="21">
        <f t="shared" ref="AH121:AH130" si="281">ROUNDDOWN($AE121/($E121+5),0)</f>
        <v>0</v>
      </c>
      <c r="AI121" s="21">
        <f t="shared" ref="AI121:AI130" si="282">ROUNDDOWN($AF121/($F121+5),0)</f>
        <v>4</v>
      </c>
      <c r="AJ121" s="21">
        <f t="shared" ref="AJ121:AJ130" si="283">ROUNDDOWN($AG121/($G121+5),0)</f>
        <v>0</v>
      </c>
      <c r="AK121" s="21">
        <f>AH121*AI121</f>
        <v>0</v>
      </c>
      <c r="AL121" s="21">
        <f>AJ121</f>
        <v>0</v>
      </c>
      <c r="AM121" s="21">
        <f>AK121*AL121</f>
        <v>0</v>
      </c>
      <c r="AN121" s="21">
        <f>VLOOKUP($L121,EQP!$A$2:$S$10,11,0)</f>
        <v>105</v>
      </c>
      <c r="AO121" s="21">
        <f>VLOOKUP($L121,EQP!$A$2:$S$10,12,0)</f>
        <v>260</v>
      </c>
      <c r="AP121" s="21">
        <f>VLOOKUP($L121,EQP!$A$2:$S$10,13,0)</f>
        <v>360</v>
      </c>
      <c r="AQ121" s="21">
        <f t="shared" ref="AQ121:AQ130" si="284">ROUNDDOWN($AN121/($E121+5),0)</f>
        <v>0</v>
      </c>
      <c r="AR121" s="21">
        <f t="shared" ref="AR121:AR130" si="285">ROUNDDOWN($AO121/($F121+5),0)</f>
        <v>3</v>
      </c>
      <c r="AS121" s="21">
        <f t="shared" ref="AS121:AS130" si="286">ROUNDDOWN($AP121/($G121+5),0)</f>
        <v>0</v>
      </c>
      <c r="AT121" s="21">
        <f>AQ121*AR121</f>
        <v>0</v>
      </c>
      <c r="AU121" s="21">
        <f>AS121</f>
        <v>0</v>
      </c>
      <c r="AV121" s="21">
        <f>AT121*AU121</f>
        <v>0</v>
      </c>
      <c r="AW121" s="21">
        <f>VLOOKUP($L121,EQP!$A$2:$S$10,14,0)</f>
        <v>260</v>
      </c>
      <c r="AX121" s="21">
        <f>VLOOKUP($L121,EQP!$A$2:$S$10,15,0)</f>
        <v>105</v>
      </c>
      <c r="AY121" s="21">
        <f>VLOOKUP($L121,EQP!$A$2:$S$10,16,0)</f>
        <v>360</v>
      </c>
      <c r="AZ121" s="21">
        <f t="shared" ref="AZ121:AZ130" si="287">ROUNDDOWN($AW121/($E121+5),0)</f>
        <v>0</v>
      </c>
      <c r="BA121" s="21">
        <f t="shared" ref="BA121:BA130" si="288">ROUNDDOWN($AX121/($F121+5),0)</f>
        <v>1</v>
      </c>
      <c r="BB121" s="21">
        <f t="shared" ref="BB121:BB130" si="289">ROUNDDOWN($AY121/($G121+5),0)</f>
        <v>0</v>
      </c>
      <c r="BC121" s="21">
        <f>AZ121*BA121</f>
        <v>0</v>
      </c>
      <c r="BD121" s="21">
        <f>BB121</f>
        <v>0</v>
      </c>
      <c r="BE121" s="21">
        <f>BC121*BD121</f>
        <v>0</v>
      </c>
      <c r="BF121" s="21">
        <f>VLOOKUP($L121,EQP!$A$2:$S$10,17,0)</f>
        <v>360</v>
      </c>
      <c r="BG121" s="21">
        <f>VLOOKUP($L121,EQP!$A$2:$S$10,18,0)</f>
        <v>105</v>
      </c>
      <c r="BH121" s="21">
        <f>VLOOKUP($L121,EQP!$A$2:$S$10,19,0)</f>
        <v>260</v>
      </c>
      <c r="BI121" s="21">
        <f t="shared" ref="BI121:BI130" si="290">ROUNDDOWN($BF121/($E121+5),0)</f>
        <v>1</v>
      </c>
      <c r="BJ121" s="21">
        <f t="shared" ref="BJ121:BJ130" si="291">ROUNDDOWN($BG121/($F121+5),0)</f>
        <v>1</v>
      </c>
      <c r="BK121" s="21">
        <f t="shared" ref="BK121:BK130" si="292">ROUNDDOWN($BH121/($G121+5),0)</f>
        <v>0</v>
      </c>
      <c r="BL121" s="21">
        <f>BI121*BJ121</f>
        <v>1</v>
      </c>
      <c r="BM121" s="21">
        <f>BK121</f>
        <v>0</v>
      </c>
      <c r="BN121" s="21">
        <f>BL121*BM121</f>
        <v>0</v>
      </c>
    </row>
    <row r="122" spans="1:66" x14ac:dyDescent="0.3">
      <c r="A122" s="5" t="str">
        <f t="shared" si="180"/>
        <v>1</v>
      </c>
      <c r="B122" s="6">
        <f t="shared" ref="B122:B130" si="293">$B102</f>
        <v>2</v>
      </c>
      <c r="C122" s="7">
        <f t="shared" ref="C122:C130" si="294">$C102</f>
        <v>14007835</v>
      </c>
      <c r="D122" s="7" t="str">
        <f t="shared" ref="D122:D130" si="295">$D102</f>
        <v>SHROUD UPPER</v>
      </c>
      <c r="E122" s="6">
        <f t="shared" ref="E122:E130" si="296">$E102</f>
        <v>225</v>
      </c>
      <c r="F122" s="6">
        <f t="shared" ref="F122:F130" si="297">$F102</f>
        <v>125</v>
      </c>
      <c r="G122" s="6">
        <f t="shared" ref="G122:G130" si="298">$G102</f>
        <v>190</v>
      </c>
      <c r="H122" s="6">
        <f t="shared" ref="H122:H130" si="299">$H102</f>
        <v>96</v>
      </c>
      <c r="I122" s="6">
        <f t="shared" ref="I122:I130" si="300">$I102</f>
        <v>2</v>
      </c>
      <c r="J122" s="6">
        <f t="shared" ref="J122:J130" si="301">$J102</f>
        <v>192</v>
      </c>
      <c r="K122" s="6">
        <f t="shared" ref="K122:K130" si="302">$K102</f>
        <v>18</v>
      </c>
      <c r="L122" s="5" t="str">
        <f>L121</f>
        <v>Crate (400 x 300 x 120) mm</v>
      </c>
      <c r="M122" s="21">
        <f>VLOOKUP($L122,EQP!$A$2:$S$10,2,0)</f>
        <v>360</v>
      </c>
      <c r="N122" s="21">
        <f>VLOOKUP($L122,EQP!$A$2:$S$10,3,0)</f>
        <v>260</v>
      </c>
      <c r="O122" s="21">
        <f>VLOOKUP($L122,EQP!$A$2:$S$10,4,0)</f>
        <v>105</v>
      </c>
      <c r="P122" s="21">
        <f t="shared" si="275"/>
        <v>1</v>
      </c>
      <c r="Q122" s="21">
        <f t="shared" si="276"/>
        <v>2</v>
      </c>
      <c r="R122" s="21">
        <f t="shared" si="277"/>
        <v>0</v>
      </c>
      <c r="S122" s="21">
        <f t="shared" ref="S122:S130" si="303">$P122*$Q122</f>
        <v>2</v>
      </c>
      <c r="T122" s="21">
        <f t="shared" ref="T122:T130" si="304">R122</f>
        <v>0</v>
      </c>
      <c r="U122" s="21">
        <f t="shared" ref="U122:U130" si="305">S122*T122</f>
        <v>0</v>
      </c>
      <c r="V122" s="21">
        <f>VLOOKUP($L122,EQP!$A$2:$S$10,5,0)</f>
        <v>260</v>
      </c>
      <c r="W122" s="21">
        <f>VLOOKUP($L122,EQP!$A$2:$S$10,6,0)</f>
        <v>360</v>
      </c>
      <c r="X122" s="21">
        <f>VLOOKUP($L122,EQP!$A$2:$S$10,7,0)</f>
        <v>105</v>
      </c>
      <c r="Y122" s="21">
        <f t="shared" si="278"/>
        <v>1</v>
      </c>
      <c r="Z122" s="21">
        <f t="shared" si="279"/>
        <v>2</v>
      </c>
      <c r="AA122" s="21">
        <f t="shared" si="280"/>
        <v>0</v>
      </c>
      <c r="AB122" s="21">
        <f t="shared" ref="AB122:AB130" si="306">Y122*Z122</f>
        <v>2</v>
      </c>
      <c r="AC122" s="21">
        <f t="shared" ref="AC122:AC130" si="307">AA122</f>
        <v>0</v>
      </c>
      <c r="AD122" s="21">
        <f t="shared" ref="AD122:AD130" si="308">AB122*AC122</f>
        <v>0</v>
      </c>
      <c r="AE122" s="21">
        <f>VLOOKUP($L122,EQP!$A$2:$S$10,8,0)</f>
        <v>105</v>
      </c>
      <c r="AF122" s="21">
        <f>VLOOKUP($L122,EQP!$A$2:$S$10,9,0)</f>
        <v>360</v>
      </c>
      <c r="AG122" s="21">
        <f>VLOOKUP($L122,EQP!$A$2:$S$10,10,0)</f>
        <v>260</v>
      </c>
      <c r="AH122" s="21">
        <f t="shared" si="281"/>
        <v>0</v>
      </c>
      <c r="AI122" s="21">
        <f t="shared" si="282"/>
        <v>2</v>
      </c>
      <c r="AJ122" s="21">
        <f t="shared" si="283"/>
        <v>1</v>
      </c>
      <c r="AK122" s="21">
        <f t="shared" ref="AK122:AK130" si="309">AH122*AI122</f>
        <v>0</v>
      </c>
      <c r="AL122" s="21">
        <f t="shared" ref="AL122:AL130" si="310">AJ122</f>
        <v>1</v>
      </c>
      <c r="AM122" s="21">
        <f t="shared" ref="AM122:AM130" si="311">AK122*AL122</f>
        <v>0</v>
      </c>
      <c r="AN122" s="21">
        <f>VLOOKUP($L122,EQP!$A$2:$S$10,11,0)</f>
        <v>105</v>
      </c>
      <c r="AO122" s="21">
        <f>VLOOKUP($L122,EQP!$A$2:$S$10,12,0)</f>
        <v>260</v>
      </c>
      <c r="AP122" s="21">
        <f>VLOOKUP($L122,EQP!$A$2:$S$10,13,0)</f>
        <v>360</v>
      </c>
      <c r="AQ122" s="21">
        <f t="shared" si="284"/>
        <v>0</v>
      </c>
      <c r="AR122" s="21">
        <f t="shared" si="285"/>
        <v>2</v>
      </c>
      <c r="AS122" s="21">
        <f t="shared" si="286"/>
        <v>1</v>
      </c>
      <c r="AT122" s="21">
        <f t="shared" ref="AT122:AT130" si="312">AQ122*AR122</f>
        <v>0</v>
      </c>
      <c r="AU122" s="21">
        <f t="shared" ref="AU122:AU130" si="313">AS122</f>
        <v>1</v>
      </c>
      <c r="AV122" s="21">
        <f t="shared" ref="AV122:AV130" si="314">AT122*AU122</f>
        <v>0</v>
      </c>
      <c r="AW122" s="21">
        <f>VLOOKUP($L122,EQP!$A$2:$S$10,14,0)</f>
        <v>260</v>
      </c>
      <c r="AX122" s="21">
        <f>VLOOKUP($L122,EQP!$A$2:$S$10,15,0)</f>
        <v>105</v>
      </c>
      <c r="AY122" s="21">
        <f>VLOOKUP($L122,EQP!$A$2:$S$10,16,0)</f>
        <v>360</v>
      </c>
      <c r="AZ122" s="21">
        <f t="shared" si="287"/>
        <v>1</v>
      </c>
      <c r="BA122" s="21">
        <f t="shared" si="288"/>
        <v>0</v>
      </c>
      <c r="BB122" s="21">
        <f t="shared" si="289"/>
        <v>1</v>
      </c>
      <c r="BC122" s="21">
        <f t="shared" ref="BC122:BC130" si="315">AZ122*BA122</f>
        <v>0</v>
      </c>
      <c r="BD122" s="21">
        <f t="shared" ref="BD122:BD130" si="316">BB122</f>
        <v>1</v>
      </c>
      <c r="BE122" s="21">
        <f t="shared" ref="BE122:BE130" si="317">BC122*BD122</f>
        <v>0</v>
      </c>
      <c r="BF122" s="21">
        <f>VLOOKUP($L122,EQP!$A$2:$S$10,17,0)</f>
        <v>360</v>
      </c>
      <c r="BG122" s="21">
        <f>VLOOKUP($L122,EQP!$A$2:$S$10,18,0)</f>
        <v>105</v>
      </c>
      <c r="BH122" s="21">
        <f>VLOOKUP($L122,EQP!$A$2:$S$10,19,0)</f>
        <v>260</v>
      </c>
      <c r="BI122" s="21">
        <f t="shared" si="290"/>
        <v>1</v>
      </c>
      <c r="BJ122" s="21">
        <f t="shared" si="291"/>
        <v>0</v>
      </c>
      <c r="BK122" s="21">
        <f t="shared" si="292"/>
        <v>1</v>
      </c>
      <c r="BL122" s="21">
        <f t="shared" ref="BL122:BL130" si="318">BI122*BJ122</f>
        <v>0</v>
      </c>
      <c r="BM122" s="21">
        <f t="shared" ref="BM122:BM130" si="319">BK122</f>
        <v>1</v>
      </c>
      <c r="BN122" s="21">
        <f t="shared" ref="BN122:BN130" si="320">BL122*BM122</f>
        <v>0</v>
      </c>
    </row>
    <row r="123" spans="1:66" x14ac:dyDescent="0.3">
      <c r="A123" s="5" t="str">
        <f t="shared" si="180"/>
        <v>1</v>
      </c>
      <c r="B123" s="6">
        <f t="shared" si="293"/>
        <v>3</v>
      </c>
      <c r="C123" s="7">
        <f t="shared" si="294"/>
        <v>14007836</v>
      </c>
      <c r="D123" s="7" t="str">
        <f t="shared" si="295"/>
        <v>SHROUD LOWER</v>
      </c>
      <c r="E123" s="6">
        <f t="shared" si="296"/>
        <v>435</v>
      </c>
      <c r="F123" s="6">
        <f t="shared" si="297"/>
        <v>100</v>
      </c>
      <c r="G123" s="6">
        <f t="shared" si="298"/>
        <v>210</v>
      </c>
      <c r="H123" s="6">
        <f t="shared" si="299"/>
        <v>48</v>
      </c>
      <c r="I123" s="6">
        <f t="shared" si="300"/>
        <v>1</v>
      </c>
      <c r="J123" s="6">
        <f t="shared" si="301"/>
        <v>48</v>
      </c>
      <c r="K123" s="6">
        <f t="shared" si="302"/>
        <v>75</v>
      </c>
      <c r="L123" s="5" t="str">
        <f t="shared" ref="L123:L130" si="321">L122</f>
        <v>Crate (400 x 300 x 120) mm</v>
      </c>
      <c r="M123" s="21">
        <f>VLOOKUP($L123,EQP!$A$2:$S$10,2,0)</f>
        <v>360</v>
      </c>
      <c r="N123" s="21">
        <f>VLOOKUP($L123,EQP!$A$2:$S$10,3,0)</f>
        <v>260</v>
      </c>
      <c r="O123" s="21">
        <f>VLOOKUP($L123,EQP!$A$2:$S$10,4,0)</f>
        <v>105</v>
      </c>
      <c r="P123" s="21">
        <f t="shared" si="275"/>
        <v>0</v>
      </c>
      <c r="Q123" s="21">
        <f t="shared" si="276"/>
        <v>2</v>
      </c>
      <c r="R123" s="21">
        <f t="shared" si="277"/>
        <v>0</v>
      </c>
      <c r="S123" s="21">
        <f t="shared" si="303"/>
        <v>0</v>
      </c>
      <c r="T123" s="21">
        <f t="shared" si="304"/>
        <v>0</v>
      </c>
      <c r="U123" s="21">
        <f t="shared" si="305"/>
        <v>0</v>
      </c>
      <c r="V123" s="21">
        <f>VLOOKUP($L123,EQP!$A$2:$S$10,5,0)</f>
        <v>260</v>
      </c>
      <c r="W123" s="21">
        <f>VLOOKUP($L123,EQP!$A$2:$S$10,6,0)</f>
        <v>360</v>
      </c>
      <c r="X123" s="21">
        <f>VLOOKUP($L123,EQP!$A$2:$S$10,7,0)</f>
        <v>105</v>
      </c>
      <c r="Y123" s="21">
        <f t="shared" si="278"/>
        <v>0</v>
      </c>
      <c r="Z123" s="21">
        <f t="shared" si="279"/>
        <v>3</v>
      </c>
      <c r="AA123" s="21">
        <f t="shared" si="280"/>
        <v>0</v>
      </c>
      <c r="AB123" s="21">
        <f t="shared" si="306"/>
        <v>0</v>
      </c>
      <c r="AC123" s="21">
        <f t="shared" si="307"/>
        <v>0</v>
      </c>
      <c r="AD123" s="21">
        <f t="shared" si="308"/>
        <v>0</v>
      </c>
      <c r="AE123" s="21">
        <f>VLOOKUP($L123,EQP!$A$2:$S$10,8,0)</f>
        <v>105</v>
      </c>
      <c r="AF123" s="21">
        <f>VLOOKUP($L123,EQP!$A$2:$S$10,9,0)</f>
        <v>360</v>
      </c>
      <c r="AG123" s="21">
        <f>VLOOKUP($L123,EQP!$A$2:$S$10,10,0)</f>
        <v>260</v>
      </c>
      <c r="AH123" s="21">
        <f t="shared" si="281"/>
        <v>0</v>
      </c>
      <c r="AI123" s="21">
        <f t="shared" si="282"/>
        <v>3</v>
      </c>
      <c r="AJ123" s="21">
        <f t="shared" si="283"/>
        <v>1</v>
      </c>
      <c r="AK123" s="21">
        <f t="shared" si="309"/>
        <v>0</v>
      </c>
      <c r="AL123" s="21">
        <f t="shared" si="310"/>
        <v>1</v>
      </c>
      <c r="AM123" s="21">
        <f t="shared" si="311"/>
        <v>0</v>
      </c>
      <c r="AN123" s="21">
        <f>VLOOKUP($L123,EQP!$A$2:$S$10,11,0)</f>
        <v>105</v>
      </c>
      <c r="AO123" s="21">
        <f>VLOOKUP($L123,EQP!$A$2:$S$10,12,0)</f>
        <v>260</v>
      </c>
      <c r="AP123" s="21">
        <f>VLOOKUP($L123,EQP!$A$2:$S$10,13,0)</f>
        <v>360</v>
      </c>
      <c r="AQ123" s="21">
        <f t="shared" si="284"/>
        <v>0</v>
      </c>
      <c r="AR123" s="21">
        <f t="shared" si="285"/>
        <v>2</v>
      </c>
      <c r="AS123" s="21">
        <f t="shared" si="286"/>
        <v>1</v>
      </c>
      <c r="AT123" s="21">
        <f t="shared" si="312"/>
        <v>0</v>
      </c>
      <c r="AU123" s="21">
        <f t="shared" si="313"/>
        <v>1</v>
      </c>
      <c r="AV123" s="21">
        <f t="shared" si="314"/>
        <v>0</v>
      </c>
      <c r="AW123" s="21">
        <f>VLOOKUP($L123,EQP!$A$2:$S$10,14,0)</f>
        <v>260</v>
      </c>
      <c r="AX123" s="21">
        <f>VLOOKUP($L123,EQP!$A$2:$S$10,15,0)</f>
        <v>105</v>
      </c>
      <c r="AY123" s="21">
        <f>VLOOKUP($L123,EQP!$A$2:$S$10,16,0)</f>
        <v>360</v>
      </c>
      <c r="AZ123" s="21">
        <f t="shared" si="287"/>
        <v>0</v>
      </c>
      <c r="BA123" s="21">
        <f t="shared" si="288"/>
        <v>1</v>
      </c>
      <c r="BB123" s="21">
        <f t="shared" si="289"/>
        <v>1</v>
      </c>
      <c r="BC123" s="21">
        <f t="shared" si="315"/>
        <v>0</v>
      </c>
      <c r="BD123" s="21">
        <f t="shared" si="316"/>
        <v>1</v>
      </c>
      <c r="BE123" s="21">
        <f t="shared" si="317"/>
        <v>0</v>
      </c>
      <c r="BF123" s="21">
        <f>VLOOKUP($L123,EQP!$A$2:$S$10,17,0)</f>
        <v>360</v>
      </c>
      <c r="BG123" s="21">
        <f>VLOOKUP($L123,EQP!$A$2:$S$10,18,0)</f>
        <v>105</v>
      </c>
      <c r="BH123" s="21">
        <f>VLOOKUP($L123,EQP!$A$2:$S$10,19,0)</f>
        <v>260</v>
      </c>
      <c r="BI123" s="21">
        <f t="shared" si="290"/>
        <v>0</v>
      </c>
      <c r="BJ123" s="21">
        <f t="shared" si="291"/>
        <v>1</v>
      </c>
      <c r="BK123" s="21">
        <f t="shared" si="292"/>
        <v>1</v>
      </c>
      <c r="BL123" s="21">
        <f t="shared" si="318"/>
        <v>0</v>
      </c>
      <c r="BM123" s="21">
        <f t="shared" si="319"/>
        <v>1</v>
      </c>
      <c r="BN123" s="21">
        <f t="shared" si="320"/>
        <v>0</v>
      </c>
    </row>
    <row r="124" spans="1:66" x14ac:dyDescent="0.3">
      <c r="A124" s="5" t="str">
        <f t="shared" si="180"/>
        <v>1</v>
      </c>
      <c r="B124" s="6">
        <f t="shared" si="293"/>
        <v>4</v>
      </c>
      <c r="C124" s="7">
        <f t="shared" si="294"/>
        <v>14007837</v>
      </c>
      <c r="D124" s="7" t="str">
        <f t="shared" si="295"/>
        <v>CLUSTER BEZEL LOWER ASSY</v>
      </c>
      <c r="E124" s="6">
        <f t="shared" si="296"/>
        <v>365</v>
      </c>
      <c r="F124" s="6">
        <f t="shared" si="297"/>
        <v>63</v>
      </c>
      <c r="G124" s="6">
        <f t="shared" si="298"/>
        <v>225</v>
      </c>
      <c r="H124" s="6">
        <f t="shared" si="299"/>
        <v>96</v>
      </c>
      <c r="I124" s="6">
        <f t="shared" si="300"/>
        <v>1</v>
      </c>
      <c r="J124" s="6">
        <f t="shared" si="301"/>
        <v>96</v>
      </c>
      <c r="K124" s="6">
        <f t="shared" si="302"/>
        <v>38</v>
      </c>
      <c r="L124" s="5" t="str">
        <f t="shared" si="321"/>
        <v>Crate (400 x 300 x 120) mm</v>
      </c>
      <c r="M124" s="21">
        <f>VLOOKUP($L124,EQP!$A$2:$S$10,2,0)</f>
        <v>360</v>
      </c>
      <c r="N124" s="21">
        <f>VLOOKUP($L124,EQP!$A$2:$S$10,3,0)</f>
        <v>260</v>
      </c>
      <c r="O124" s="21">
        <f>VLOOKUP($L124,EQP!$A$2:$S$10,4,0)</f>
        <v>105</v>
      </c>
      <c r="P124" s="21">
        <f t="shared" si="275"/>
        <v>0</v>
      </c>
      <c r="Q124" s="21">
        <f t="shared" si="276"/>
        <v>3</v>
      </c>
      <c r="R124" s="21">
        <f t="shared" si="277"/>
        <v>0</v>
      </c>
      <c r="S124" s="21">
        <f t="shared" si="303"/>
        <v>0</v>
      </c>
      <c r="T124" s="21">
        <f t="shared" si="304"/>
        <v>0</v>
      </c>
      <c r="U124" s="21">
        <f t="shared" si="305"/>
        <v>0</v>
      </c>
      <c r="V124" s="21">
        <f>VLOOKUP($L124,EQP!$A$2:$S$10,5,0)</f>
        <v>260</v>
      </c>
      <c r="W124" s="21">
        <f>VLOOKUP($L124,EQP!$A$2:$S$10,6,0)</f>
        <v>360</v>
      </c>
      <c r="X124" s="21">
        <f>VLOOKUP($L124,EQP!$A$2:$S$10,7,0)</f>
        <v>105</v>
      </c>
      <c r="Y124" s="21">
        <f t="shared" si="278"/>
        <v>0</v>
      </c>
      <c r="Z124" s="21">
        <f t="shared" si="279"/>
        <v>5</v>
      </c>
      <c r="AA124" s="21">
        <f t="shared" si="280"/>
        <v>0</v>
      </c>
      <c r="AB124" s="21">
        <f t="shared" si="306"/>
        <v>0</v>
      </c>
      <c r="AC124" s="21">
        <f t="shared" si="307"/>
        <v>0</v>
      </c>
      <c r="AD124" s="21">
        <f t="shared" si="308"/>
        <v>0</v>
      </c>
      <c r="AE124" s="21">
        <f>VLOOKUP($L124,EQP!$A$2:$S$10,8,0)</f>
        <v>105</v>
      </c>
      <c r="AF124" s="21">
        <f>VLOOKUP($L124,EQP!$A$2:$S$10,9,0)</f>
        <v>360</v>
      </c>
      <c r="AG124" s="21">
        <f>VLOOKUP($L124,EQP!$A$2:$S$10,10,0)</f>
        <v>260</v>
      </c>
      <c r="AH124" s="21">
        <f t="shared" si="281"/>
        <v>0</v>
      </c>
      <c r="AI124" s="21">
        <f t="shared" si="282"/>
        <v>5</v>
      </c>
      <c r="AJ124" s="21">
        <f t="shared" si="283"/>
        <v>1</v>
      </c>
      <c r="AK124" s="21">
        <f t="shared" si="309"/>
        <v>0</v>
      </c>
      <c r="AL124" s="21">
        <f t="shared" si="310"/>
        <v>1</v>
      </c>
      <c r="AM124" s="21">
        <f t="shared" si="311"/>
        <v>0</v>
      </c>
      <c r="AN124" s="21">
        <f>VLOOKUP($L124,EQP!$A$2:$S$10,11,0)</f>
        <v>105</v>
      </c>
      <c r="AO124" s="21">
        <f>VLOOKUP($L124,EQP!$A$2:$S$10,12,0)</f>
        <v>260</v>
      </c>
      <c r="AP124" s="21">
        <f>VLOOKUP($L124,EQP!$A$2:$S$10,13,0)</f>
        <v>360</v>
      </c>
      <c r="AQ124" s="21">
        <f t="shared" si="284"/>
        <v>0</v>
      </c>
      <c r="AR124" s="21">
        <f t="shared" si="285"/>
        <v>3</v>
      </c>
      <c r="AS124" s="21">
        <f t="shared" si="286"/>
        <v>1</v>
      </c>
      <c r="AT124" s="21">
        <f t="shared" si="312"/>
        <v>0</v>
      </c>
      <c r="AU124" s="21">
        <f t="shared" si="313"/>
        <v>1</v>
      </c>
      <c r="AV124" s="21">
        <f t="shared" si="314"/>
        <v>0</v>
      </c>
      <c r="AW124" s="21">
        <f>VLOOKUP($L124,EQP!$A$2:$S$10,14,0)</f>
        <v>260</v>
      </c>
      <c r="AX124" s="21">
        <f>VLOOKUP($L124,EQP!$A$2:$S$10,15,0)</f>
        <v>105</v>
      </c>
      <c r="AY124" s="21">
        <f>VLOOKUP($L124,EQP!$A$2:$S$10,16,0)</f>
        <v>360</v>
      </c>
      <c r="AZ124" s="21">
        <f t="shared" si="287"/>
        <v>0</v>
      </c>
      <c r="BA124" s="21">
        <f t="shared" si="288"/>
        <v>1</v>
      </c>
      <c r="BB124" s="21">
        <f t="shared" si="289"/>
        <v>1</v>
      </c>
      <c r="BC124" s="21">
        <f t="shared" si="315"/>
        <v>0</v>
      </c>
      <c r="BD124" s="21">
        <f t="shared" si="316"/>
        <v>1</v>
      </c>
      <c r="BE124" s="21">
        <f t="shared" si="317"/>
        <v>0</v>
      </c>
      <c r="BF124" s="21">
        <f>VLOOKUP($L124,EQP!$A$2:$S$10,17,0)</f>
        <v>360</v>
      </c>
      <c r="BG124" s="21">
        <f>VLOOKUP($L124,EQP!$A$2:$S$10,18,0)</f>
        <v>105</v>
      </c>
      <c r="BH124" s="21">
        <f>VLOOKUP($L124,EQP!$A$2:$S$10,19,0)</f>
        <v>260</v>
      </c>
      <c r="BI124" s="21">
        <f t="shared" si="290"/>
        <v>0</v>
      </c>
      <c r="BJ124" s="21">
        <f t="shared" si="291"/>
        <v>1</v>
      </c>
      <c r="BK124" s="21">
        <f t="shared" si="292"/>
        <v>1</v>
      </c>
      <c r="BL124" s="21">
        <f t="shared" si="318"/>
        <v>0</v>
      </c>
      <c r="BM124" s="21">
        <f t="shared" si="319"/>
        <v>1</v>
      </c>
      <c r="BN124" s="21">
        <f t="shared" si="320"/>
        <v>0</v>
      </c>
    </row>
    <row r="125" spans="1:66" x14ac:dyDescent="0.3">
      <c r="A125" s="5" t="str">
        <f t="shared" si="180"/>
        <v>1</v>
      </c>
      <c r="B125" s="6">
        <f t="shared" si="293"/>
        <v>5</v>
      </c>
      <c r="C125" s="7">
        <f t="shared" si="294"/>
        <v>14007838</v>
      </c>
      <c r="D125" s="7" t="str">
        <f t="shared" si="295"/>
        <v>DRIVER SIDE BOOSTER COVER ASSY</v>
      </c>
      <c r="E125" s="6">
        <f t="shared" si="296"/>
        <v>410</v>
      </c>
      <c r="F125" s="6">
        <f t="shared" si="297"/>
        <v>280</v>
      </c>
      <c r="G125" s="6">
        <f t="shared" si="298"/>
        <v>160</v>
      </c>
      <c r="H125" s="6">
        <f t="shared" si="299"/>
        <v>16</v>
      </c>
      <c r="I125" s="6">
        <f t="shared" si="300"/>
        <v>1</v>
      </c>
      <c r="J125" s="6">
        <f t="shared" si="301"/>
        <v>16</v>
      </c>
      <c r="K125" s="6">
        <f t="shared" si="302"/>
        <v>202</v>
      </c>
      <c r="L125" s="5" t="str">
        <f t="shared" si="321"/>
        <v>Crate (400 x 300 x 120) mm</v>
      </c>
      <c r="M125" s="21">
        <f>VLOOKUP($L125,EQP!$A$2:$S$10,2,0)</f>
        <v>360</v>
      </c>
      <c r="N125" s="21">
        <f>VLOOKUP($L125,EQP!$A$2:$S$10,3,0)</f>
        <v>260</v>
      </c>
      <c r="O125" s="21">
        <f>VLOOKUP($L125,EQP!$A$2:$S$10,4,0)</f>
        <v>105</v>
      </c>
      <c r="P125" s="21">
        <f t="shared" si="275"/>
        <v>0</v>
      </c>
      <c r="Q125" s="21">
        <f t="shared" si="276"/>
        <v>0</v>
      </c>
      <c r="R125" s="21">
        <f t="shared" si="277"/>
        <v>0</v>
      </c>
      <c r="S125" s="21">
        <f t="shared" si="303"/>
        <v>0</v>
      </c>
      <c r="T125" s="21">
        <f t="shared" si="304"/>
        <v>0</v>
      </c>
      <c r="U125" s="21">
        <f t="shared" si="305"/>
        <v>0</v>
      </c>
      <c r="V125" s="21">
        <f>VLOOKUP($L125,EQP!$A$2:$S$10,5,0)</f>
        <v>260</v>
      </c>
      <c r="W125" s="21">
        <f>VLOOKUP($L125,EQP!$A$2:$S$10,6,0)</f>
        <v>360</v>
      </c>
      <c r="X125" s="21">
        <f>VLOOKUP($L125,EQP!$A$2:$S$10,7,0)</f>
        <v>105</v>
      </c>
      <c r="Y125" s="21">
        <f t="shared" si="278"/>
        <v>0</v>
      </c>
      <c r="Z125" s="21">
        <f t="shared" si="279"/>
        <v>1</v>
      </c>
      <c r="AA125" s="21">
        <f t="shared" si="280"/>
        <v>0</v>
      </c>
      <c r="AB125" s="21">
        <f t="shared" si="306"/>
        <v>0</v>
      </c>
      <c r="AC125" s="21">
        <f t="shared" si="307"/>
        <v>0</v>
      </c>
      <c r="AD125" s="21">
        <f t="shared" si="308"/>
        <v>0</v>
      </c>
      <c r="AE125" s="21">
        <f>VLOOKUP($L125,EQP!$A$2:$S$10,8,0)</f>
        <v>105</v>
      </c>
      <c r="AF125" s="21">
        <f>VLOOKUP($L125,EQP!$A$2:$S$10,9,0)</f>
        <v>360</v>
      </c>
      <c r="AG125" s="21">
        <f>VLOOKUP($L125,EQP!$A$2:$S$10,10,0)</f>
        <v>260</v>
      </c>
      <c r="AH125" s="21">
        <f t="shared" si="281"/>
        <v>0</v>
      </c>
      <c r="AI125" s="21">
        <f t="shared" si="282"/>
        <v>1</v>
      </c>
      <c r="AJ125" s="21">
        <f t="shared" si="283"/>
        <v>1</v>
      </c>
      <c r="AK125" s="21">
        <f t="shared" si="309"/>
        <v>0</v>
      </c>
      <c r="AL125" s="21">
        <f t="shared" si="310"/>
        <v>1</v>
      </c>
      <c r="AM125" s="21">
        <f t="shared" si="311"/>
        <v>0</v>
      </c>
      <c r="AN125" s="21">
        <f>VLOOKUP($L125,EQP!$A$2:$S$10,11,0)</f>
        <v>105</v>
      </c>
      <c r="AO125" s="21">
        <f>VLOOKUP($L125,EQP!$A$2:$S$10,12,0)</f>
        <v>260</v>
      </c>
      <c r="AP125" s="21">
        <f>VLOOKUP($L125,EQP!$A$2:$S$10,13,0)</f>
        <v>360</v>
      </c>
      <c r="AQ125" s="21">
        <f t="shared" si="284"/>
        <v>0</v>
      </c>
      <c r="AR125" s="21">
        <f t="shared" si="285"/>
        <v>0</v>
      </c>
      <c r="AS125" s="21">
        <f t="shared" si="286"/>
        <v>2</v>
      </c>
      <c r="AT125" s="21">
        <f t="shared" si="312"/>
        <v>0</v>
      </c>
      <c r="AU125" s="21">
        <f t="shared" si="313"/>
        <v>2</v>
      </c>
      <c r="AV125" s="21">
        <f t="shared" si="314"/>
        <v>0</v>
      </c>
      <c r="AW125" s="21">
        <f>VLOOKUP($L125,EQP!$A$2:$S$10,14,0)</f>
        <v>260</v>
      </c>
      <c r="AX125" s="21">
        <f>VLOOKUP($L125,EQP!$A$2:$S$10,15,0)</f>
        <v>105</v>
      </c>
      <c r="AY125" s="21">
        <f>VLOOKUP($L125,EQP!$A$2:$S$10,16,0)</f>
        <v>360</v>
      </c>
      <c r="AZ125" s="21">
        <f t="shared" si="287"/>
        <v>0</v>
      </c>
      <c r="BA125" s="21">
        <f t="shared" si="288"/>
        <v>0</v>
      </c>
      <c r="BB125" s="21">
        <f t="shared" si="289"/>
        <v>2</v>
      </c>
      <c r="BC125" s="21">
        <f t="shared" si="315"/>
        <v>0</v>
      </c>
      <c r="BD125" s="21">
        <f t="shared" si="316"/>
        <v>2</v>
      </c>
      <c r="BE125" s="21">
        <f t="shared" si="317"/>
        <v>0</v>
      </c>
      <c r="BF125" s="21">
        <f>VLOOKUP($L125,EQP!$A$2:$S$10,17,0)</f>
        <v>360</v>
      </c>
      <c r="BG125" s="21">
        <f>VLOOKUP($L125,EQP!$A$2:$S$10,18,0)</f>
        <v>105</v>
      </c>
      <c r="BH125" s="21">
        <f>VLOOKUP($L125,EQP!$A$2:$S$10,19,0)</f>
        <v>260</v>
      </c>
      <c r="BI125" s="21">
        <f t="shared" si="290"/>
        <v>0</v>
      </c>
      <c r="BJ125" s="21">
        <f t="shared" si="291"/>
        <v>0</v>
      </c>
      <c r="BK125" s="21">
        <f t="shared" si="292"/>
        <v>1</v>
      </c>
      <c r="BL125" s="21">
        <f t="shared" si="318"/>
        <v>0</v>
      </c>
      <c r="BM125" s="21">
        <f t="shared" si="319"/>
        <v>1</v>
      </c>
      <c r="BN125" s="21">
        <f t="shared" si="320"/>
        <v>0</v>
      </c>
    </row>
    <row r="126" spans="1:66" x14ac:dyDescent="0.3">
      <c r="A126" s="5" t="str">
        <f t="shared" si="180"/>
        <v>1</v>
      </c>
      <c r="B126" s="6">
        <f t="shared" si="293"/>
        <v>6</v>
      </c>
      <c r="C126" s="7">
        <f t="shared" si="294"/>
        <v>14007839</v>
      </c>
      <c r="D126" s="7" t="str">
        <f t="shared" si="295"/>
        <v>PASSENGER SIDE KNEE COVER RHD ASSY</v>
      </c>
      <c r="E126" s="6">
        <f t="shared" si="296"/>
        <v>380</v>
      </c>
      <c r="F126" s="6">
        <f t="shared" si="297"/>
        <v>110</v>
      </c>
      <c r="G126" s="6">
        <f t="shared" si="298"/>
        <v>295</v>
      </c>
      <c r="H126" s="6">
        <f t="shared" si="299"/>
        <v>64</v>
      </c>
      <c r="I126" s="6">
        <f t="shared" si="300"/>
        <v>1</v>
      </c>
      <c r="J126" s="6">
        <f t="shared" si="301"/>
        <v>64</v>
      </c>
      <c r="K126" s="6">
        <f t="shared" si="302"/>
        <v>50</v>
      </c>
      <c r="L126" s="5" t="str">
        <f t="shared" si="321"/>
        <v>Crate (400 x 300 x 120) mm</v>
      </c>
      <c r="M126" s="21">
        <f>VLOOKUP($L126,EQP!$A$2:$S$10,2,0)</f>
        <v>360</v>
      </c>
      <c r="N126" s="21">
        <f>VLOOKUP($L126,EQP!$A$2:$S$10,3,0)</f>
        <v>260</v>
      </c>
      <c r="O126" s="21">
        <f>VLOOKUP($L126,EQP!$A$2:$S$10,4,0)</f>
        <v>105</v>
      </c>
      <c r="P126" s="21">
        <f t="shared" si="275"/>
        <v>0</v>
      </c>
      <c r="Q126" s="21">
        <f t="shared" si="276"/>
        <v>2</v>
      </c>
      <c r="R126" s="21">
        <f t="shared" si="277"/>
        <v>0</v>
      </c>
      <c r="S126" s="21">
        <f t="shared" si="303"/>
        <v>0</v>
      </c>
      <c r="T126" s="21">
        <f t="shared" si="304"/>
        <v>0</v>
      </c>
      <c r="U126" s="21">
        <f t="shared" si="305"/>
        <v>0</v>
      </c>
      <c r="V126" s="21">
        <f>VLOOKUP($L126,EQP!$A$2:$S$10,5,0)</f>
        <v>260</v>
      </c>
      <c r="W126" s="21">
        <f>VLOOKUP($L126,EQP!$A$2:$S$10,6,0)</f>
        <v>360</v>
      </c>
      <c r="X126" s="21">
        <f>VLOOKUP($L126,EQP!$A$2:$S$10,7,0)</f>
        <v>105</v>
      </c>
      <c r="Y126" s="21">
        <f t="shared" si="278"/>
        <v>0</v>
      </c>
      <c r="Z126" s="21">
        <f t="shared" si="279"/>
        <v>3</v>
      </c>
      <c r="AA126" s="21">
        <f t="shared" si="280"/>
        <v>0</v>
      </c>
      <c r="AB126" s="21">
        <f t="shared" si="306"/>
        <v>0</v>
      </c>
      <c r="AC126" s="21">
        <f t="shared" si="307"/>
        <v>0</v>
      </c>
      <c r="AD126" s="21">
        <f t="shared" si="308"/>
        <v>0</v>
      </c>
      <c r="AE126" s="21">
        <f>VLOOKUP($L126,EQP!$A$2:$S$10,8,0)</f>
        <v>105</v>
      </c>
      <c r="AF126" s="21">
        <f>VLOOKUP($L126,EQP!$A$2:$S$10,9,0)</f>
        <v>360</v>
      </c>
      <c r="AG126" s="21">
        <f>VLOOKUP($L126,EQP!$A$2:$S$10,10,0)</f>
        <v>260</v>
      </c>
      <c r="AH126" s="21">
        <f t="shared" si="281"/>
        <v>0</v>
      </c>
      <c r="AI126" s="21">
        <f t="shared" si="282"/>
        <v>3</v>
      </c>
      <c r="AJ126" s="21">
        <f t="shared" si="283"/>
        <v>0</v>
      </c>
      <c r="AK126" s="21">
        <f t="shared" si="309"/>
        <v>0</v>
      </c>
      <c r="AL126" s="21">
        <f t="shared" si="310"/>
        <v>0</v>
      </c>
      <c r="AM126" s="21">
        <f t="shared" si="311"/>
        <v>0</v>
      </c>
      <c r="AN126" s="21">
        <f>VLOOKUP($L126,EQP!$A$2:$S$10,11,0)</f>
        <v>105</v>
      </c>
      <c r="AO126" s="21">
        <f>VLOOKUP($L126,EQP!$A$2:$S$10,12,0)</f>
        <v>260</v>
      </c>
      <c r="AP126" s="21">
        <f>VLOOKUP($L126,EQP!$A$2:$S$10,13,0)</f>
        <v>360</v>
      </c>
      <c r="AQ126" s="21">
        <f t="shared" si="284"/>
        <v>0</v>
      </c>
      <c r="AR126" s="21">
        <f t="shared" si="285"/>
        <v>2</v>
      </c>
      <c r="AS126" s="21">
        <f t="shared" si="286"/>
        <v>1</v>
      </c>
      <c r="AT126" s="21">
        <f t="shared" si="312"/>
        <v>0</v>
      </c>
      <c r="AU126" s="21">
        <f t="shared" si="313"/>
        <v>1</v>
      </c>
      <c r="AV126" s="21">
        <f t="shared" si="314"/>
        <v>0</v>
      </c>
      <c r="AW126" s="21">
        <f>VLOOKUP($L126,EQP!$A$2:$S$10,14,0)</f>
        <v>260</v>
      </c>
      <c r="AX126" s="21">
        <f>VLOOKUP($L126,EQP!$A$2:$S$10,15,0)</f>
        <v>105</v>
      </c>
      <c r="AY126" s="21">
        <f>VLOOKUP($L126,EQP!$A$2:$S$10,16,0)</f>
        <v>360</v>
      </c>
      <c r="AZ126" s="21">
        <f t="shared" si="287"/>
        <v>0</v>
      </c>
      <c r="BA126" s="21">
        <f t="shared" si="288"/>
        <v>0</v>
      </c>
      <c r="BB126" s="21">
        <f t="shared" si="289"/>
        <v>1</v>
      </c>
      <c r="BC126" s="21">
        <f t="shared" si="315"/>
        <v>0</v>
      </c>
      <c r="BD126" s="21">
        <f t="shared" si="316"/>
        <v>1</v>
      </c>
      <c r="BE126" s="21">
        <f t="shared" si="317"/>
        <v>0</v>
      </c>
      <c r="BF126" s="21">
        <f>VLOOKUP($L126,EQP!$A$2:$S$10,17,0)</f>
        <v>360</v>
      </c>
      <c r="BG126" s="21">
        <f>VLOOKUP($L126,EQP!$A$2:$S$10,18,0)</f>
        <v>105</v>
      </c>
      <c r="BH126" s="21">
        <f>VLOOKUP($L126,EQP!$A$2:$S$10,19,0)</f>
        <v>260</v>
      </c>
      <c r="BI126" s="21">
        <f t="shared" si="290"/>
        <v>0</v>
      </c>
      <c r="BJ126" s="21">
        <f t="shared" si="291"/>
        <v>0</v>
      </c>
      <c r="BK126" s="21">
        <f t="shared" si="292"/>
        <v>0</v>
      </c>
      <c r="BL126" s="21">
        <f t="shared" si="318"/>
        <v>0</v>
      </c>
      <c r="BM126" s="21">
        <f t="shared" si="319"/>
        <v>0</v>
      </c>
      <c r="BN126" s="21">
        <f t="shared" si="320"/>
        <v>0</v>
      </c>
    </row>
    <row r="127" spans="1:66" x14ac:dyDescent="0.3">
      <c r="A127" s="5" t="str">
        <f t="shared" si="180"/>
        <v>1</v>
      </c>
      <c r="B127" s="6">
        <f t="shared" si="293"/>
        <v>7</v>
      </c>
      <c r="C127" s="7">
        <f t="shared" si="294"/>
        <v>14007840</v>
      </c>
      <c r="D127" s="7" t="str">
        <f t="shared" si="295"/>
        <v>END CAP LH ASSY</v>
      </c>
      <c r="E127" s="6">
        <f t="shared" si="296"/>
        <v>130</v>
      </c>
      <c r="F127" s="6">
        <f t="shared" si="297"/>
        <v>50</v>
      </c>
      <c r="G127" s="6">
        <f t="shared" si="298"/>
        <v>385</v>
      </c>
      <c r="H127" s="6">
        <f t="shared" si="299"/>
        <v>192</v>
      </c>
      <c r="I127" s="6">
        <f t="shared" si="300"/>
        <v>1</v>
      </c>
      <c r="J127" s="6">
        <f t="shared" si="301"/>
        <v>192</v>
      </c>
      <c r="K127" s="6">
        <f t="shared" si="302"/>
        <v>18</v>
      </c>
      <c r="L127" s="5" t="str">
        <f t="shared" si="321"/>
        <v>Crate (400 x 300 x 120) mm</v>
      </c>
      <c r="M127" s="21">
        <f>VLOOKUP($L127,EQP!$A$2:$S$10,2,0)</f>
        <v>360</v>
      </c>
      <c r="N127" s="21">
        <f>VLOOKUP($L127,EQP!$A$2:$S$10,3,0)</f>
        <v>260</v>
      </c>
      <c r="O127" s="21">
        <f>VLOOKUP($L127,EQP!$A$2:$S$10,4,0)</f>
        <v>105</v>
      </c>
      <c r="P127" s="21">
        <f t="shared" si="275"/>
        <v>2</v>
      </c>
      <c r="Q127" s="21">
        <f t="shared" si="276"/>
        <v>4</v>
      </c>
      <c r="R127" s="21">
        <f t="shared" si="277"/>
        <v>0</v>
      </c>
      <c r="S127" s="21">
        <f t="shared" si="303"/>
        <v>8</v>
      </c>
      <c r="T127" s="21">
        <f t="shared" si="304"/>
        <v>0</v>
      </c>
      <c r="U127" s="21">
        <f t="shared" si="305"/>
        <v>0</v>
      </c>
      <c r="V127" s="21">
        <f>VLOOKUP($L127,EQP!$A$2:$S$10,5,0)</f>
        <v>260</v>
      </c>
      <c r="W127" s="21">
        <f>VLOOKUP($L127,EQP!$A$2:$S$10,6,0)</f>
        <v>360</v>
      </c>
      <c r="X127" s="21">
        <f>VLOOKUP($L127,EQP!$A$2:$S$10,7,0)</f>
        <v>105</v>
      </c>
      <c r="Y127" s="21">
        <f t="shared" si="278"/>
        <v>1</v>
      </c>
      <c r="Z127" s="21">
        <f t="shared" si="279"/>
        <v>6</v>
      </c>
      <c r="AA127" s="21">
        <f t="shared" si="280"/>
        <v>0</v>
      </c>
      <c r="AB127" s="21">
        <f t="shared" si="306"/>
        <v>6</v>
      </c>
      <c r="AC127" s="21">
        <f t="shared" si="307"/>
        <v>0</v>
      </c>
      <c r="AD127" s="21">
        <f t="shared" si="308"/>
        <v>0</v>
      </c>
      <c r="AE127" s="21">
        <f>VLOOKUP($L127,EQP!$A$2:$S$10,8,0)</f>
        <v>105</v>
      </c>
      <c r="AF127" s="21">
        <f>VLOOKUP($L127,EQP!$A$2:$S$10,9,0)</f>
        <v>360</v>
      </c>
      <c r="AG127" s="21">
        <f>VLOOKUP($L127,EQP!$A$2:$S$10,10,0)</f>
        <v>260</v>
      </c>
      <c r="AH127" s="21">
        <f t="shared" si="281"/>
        <v>0</v>
      </c>
      <c r="AI127" s="21">
        <f t="shared" si="282"/>
        <v>6</v>
      </c>
      <c r="AJ127" s="21">
        <f t="shared" si="283"/>
        <v>0</v>
      </c>
      <c r="AK127" s="21">
        <f t="shared" si="309"/>
        <v>0</v>
      </c>
      <c r="AL127" s="21">
        <f t="shared" si="310"/>
        <v>0</v>
      </c>
      <c r="AM127" s="21">
        <f t="shared" si="311"/>
        <v>0</v>
      </c>
      <c r="AN127" s="21">
        <f>VLOOKUP($L127,EQP!$A$2:$S$10,11,0)</f>
        <v>105</v>
      </c>
      <c r="AO127" s="21">
        <f>VLOOKUP($L127,EQP!$A$2:$S$10,12,0)</f>
        <v>260</v>
      </c>
      <c r="AP127" s="21">
        <f>VLOOKUP($L127,EQP!$A$2:$S$10,13,0)</f>
        <v>360</v>
      </c>
      <c r="AQ127" s="21">
        <f t="shared" si="284"/>
        <v>0</v>
      </c>
      <c r="AR127" s="21">
        <f t="shared" si="285"/>
        <v>4</v>
      </c>
      <c r="AS127" s="21">
        <f t="shared" si="286"/>
        <v>0</v>
      </c>
      <c r="AT127" s="21">
        <f t="shared" si="312"/>
        <v>0</v>
      </c>
      <c r="AU127" s="21">
        <f t="shared" si="313"/>
        <v>0</v>
      </c>
      <c r="AV127" s="21">
        <f t="shared" si="314"/>
        <v>0</v>
      </c>
      <c r="AW127" s="21">
        <f>VLOOKUP($L127,EQP!$A$2:$S$10,14,0)</f>
        <v>260</v>
      </c>
      <c r="AX127" s="21">
        <f>VLOOKUP($L127,EQP!$A$2:$S$10,15,0)</f>
        <v>105</v>
      </c>
      <c r="AY127" s="21">
        <f>VLOOKUP($L127,EQP!$A$2:$S$10,16,0)</f>
        <v>360</v>
      </c>
      <c r="AZ127" s="21">
        <f t="shared" si="287"/>
        <v>1</v>
      </c>
      <c r="BA127" s="21">
        <f t="shared" si="288"/>
        <v>1</v>
      </c>
      <c r="BB127" s="21">
        <f t="shared" si="289"/>
        <v>0</v>
      </c>
      <c r="BC127" s="21">
        <f t="shared" si="315"/>
        <v>1</v>
      </c>
      <c r="BD127" s="21">
        <f t="shared" si="316"/>
        <v>0</v>
      </c>
      <c r="BE127" s="21">
        <f t="shared" si="317"/>
        <v>0</v>
      </c>
      <c r="BF127" s="21">
        <f>VLOOKUP($L127,EQP!$A$2:$S$10,17,0)</f>
        <v>360</v>
      </c>
      <c r="BG127" s="21">
        <f>VLOOKUP($L127,EQP!$A$2:$S$10,18,0)</f>
        <v>105</v>
      </c>
      <c r="BH127" s="21">
        <f>VLOOKUP($L127,EQP!$A$2:$S$10,19,0)</f>
        <v>260</v>
      </c>
      <c r="BI127" s="21">
        <f t="shared" si="290"/>
        <v>2</v>
      </c>
      <c r="BJ127" s="21">
        <f t="shared" si="291"/>
        <v>1</v>
      </c>
      <c r="BK127" s="21">
        <f t="shared" si="292"/>
        <v>0</v>
      </c>
      <c r="BL127" s="21">
        <f t="shared" si="318"/>
        <v>2</v>
      </c>
      <c r="BM127" s="21">
        <f t="shared" si="319"/>
        <v>0</v>
      </c>
      <c r="BN127" s="21">
        <f t="shared" si="320"/>
        <v>0</v>
      </c>
    </row>
    <row r="128" spans="1:66" x14ac:dyDescent="0.3">
      <c r="A128" s="5" t="str">
        <f t="shared" si="180"/>
        <v>1</v>
      </c>
      <c r="B128" s="6">
        <f t="shared" si="293"/>
        <v>8</v>
      </c>
      <c r="C128" s="7">
        <f t="shared" si="294"/>
        <v>14007841</v>
      </c>
      <c r="D128" s="7" t="str">
        <f t="shared" si="295"/>
        <v>END CAP RH ASSY</v>
      </c>
      <c r="E128" s="6">
        <f t="shared" si="296"/>
        <v>130</v>
      </c>
      <c r="F128" s="6">
        <f t="shared" si="297"/>
        <v>50</v>
      </c>
      <c r="G128" s="6">
        <f t="shared" si="298"/>
        <v>385</v>
      </c>
      <c r="H128" s="6">
        <f t="shared" si="299"/>
        <v>192</v>
      </c>
      <c r="I128" s="6">
        <f t="shared" si="300"/>
        <v>1</v>
      </c>
      <c r="J128" s="6">
        <f t="shared" si="301"/>
        <v>192</v>
      </c>
      <c r="K128" s="6">
        <f t="shared" si="302"/>
        <v>18</v>
      </c>
      <c r="L128" s="5" t="str">
        <f t="shared" si="321"/>
        <v>Crate (400 x 300 x 120) mm</v>
      </c>
      <c r="M128" s="21">
        <f>VLOOKUP($L128,EQP!$A$2:$S$10,2,0)</f>
        <v>360</v>
      </c>
      <c r="N128" s="21">
        <f>VLOOKUP($L128,EQP!$A$2:$S$10,3,0)</f>
        <v>260</v>
      </c>
      <c r="O128" s="21">
        <f>VLOOKUP($L128,EQP!$A$2:$S$10,4,0)</f>
        <v>105</v>
      </c>
      <c r="P128" s="21">
        <f t="shared" si="275"/>
        <v>2</v>
      </c>
      <c r="Q128" s="21">
        <f t="shared" si="276"/>
        <v>4</v>
      </c>
      <c r="R128" s="21">
        <f t="shared" si="277"/>
        <v>0</v>
      </c>
      <c r="S128" s="21">
        <f t="shared" si="303"/>
        <v>8</v>
      </c>
      <c r="T128" s="21">
        <f t="shared" si="304"/>
        <v>0</v>
      </c>
      <c r="U128" s="21">
        <f t="shared" si="305"/>
        <v>0</v>
      </c>
      <c r="V128" s="21">
        <f>VLOOKUP($L128,EQP!$A$2:$S$10,5,0)</f>
        <v>260</v>
      </c>
      <c r="W128" s="21">
        <f>VLOOKUP($L128,EQP!$A$2:$S$10,6,0)</f>
        <v>360</v>
      </c>
      <c r="X128" s="21">
        <f>VLOOKUP($L128,EQP!$A$2:$S$10,7,0)</f>
        <v>105</v>
      </c>
      <c r="Y128" s="21">
        <f t="shared" si="278"/>
        <v>1</v>
      </c>
      <c r="Z128" s="21">
        <f t="shared" si="279"/>
        <v>6</v>
      </c>
      <c r="AA128" s="21">
        <f t="shared" si="280"/>
        <v>0</v>
      </c>
      <c r="AB128" s="21">
        <f t="shared" si="306"/>
        <v>6</v>
      </c>
      <c r="AC128" s="21">
        <f t="shared" si="307"/>
        <v>0</v>
      </c>
      <c r="AD128" s="21">
        <f t="shared" si="308"/>
        <v>0</v>
      </c>
      <c r="AE128" s="21">
        <f>VLOOKUP($L128,EQP!$A$2:$S$10,8,0)</f>
        <v>105</v>
      </c>
      <c r="AF128" s="21">
        <f>VLOOKUP($L128,EQP!$A$2:$S$10,9,0)</f>
        <v>360</v>
      </c>
      <c r="AG128" s="21">
        <f>VLOOKUP($L128,EQP!$A$2:$S$10,10,0)</f>
        <v>260</v>
      </c>
      <c r="AH128" s="21">
        <f t="shared" si="281"/>
        <v>0</v>
      </c>
      <c r="AI128" s="21">
        <f t="shared" si="282"/>
        <v>6</v>
      </c>
      <c r="AJ128" s="21">
        <f t="shared" si="283"/>
        <v>0</v>
      </c>
      <c r="AK128" s="21">
        <f t="shared" si="309"/>
        <v>0</v>
      </c>
      <c r="AL128" s="21">
        <f t="shared" si="310"/>
        <v>0</v>
      </c>
      <c r="AM128" s="21">
        <f t="shared" si="311"/>
        <v>0</v>
      </c>
      <c r="AN128" s="21">
        <f>VLOOKUP($L128,EQP!$A$2:$S$10,11,0)</f>
        <v>105</v>
      </c>
      <c r="AO128" s="21">
        <f>VLOOKUP($L128,EQP!$A$2:$S$10,12,0)</f>
        <v>260</v>
      </c>
      <c r="AP128" s="21">
        <f>VLOOKUP($L128,EQP!$A$2:$S$10,13,0)</f>
        <v>360</v>
      </c>
      <c r="AQ128" s="21">
        <f t="shared" si="284"/>
        <v>0</v>
      </c>
      <c r="AR128" s="21">
        <f t="shared" si="285"/>
        <v>4</v>
      </c>
      <c r="AS128" s="21">
        <f t="shared" si="286"/>
        <v>0</v>
      </c>
      <c r="AT128" s="21">
        <f t="shared" si="312"/>
        <v>0</v>
      </c>
      <c r="AU128" s="21">
        <f t="shared" si="313"/>
        <v>0</v>
      </c>
      <c r="AV128" s="21">
        <f t="shared" si="314"/>
        <v>0</v>
      </c>
      <c r="AW128" s="21">
        <f>VLOOKUP($L128,EQP!$A$2:$S$10,14,0)</f>
        <v>260</v>
      </c>
      <c r="AX128" s="21">
        <f>VLOOKUP($L128,EQP!$A$2:$S$10,15,0)</f>
        <v>105</v>
      </c>
      <c r="AY128" s="21">
        <f>VLOOKUP($L128,EQP!$A$2:$S$10,16,0)</f>
        <v>360</v>
      </c>
      <c r="AZ128" s="21">
        <f t="shared" si="287"/>
        <v>1</v>
      </c>
      <c r="BA128" s="21">
        <f t="shared" si="288"/>
        <v>1</v>
      </c>
      <c r="BB128" s="21">
        <f t="shared" si="289"/>
        <v>0</v>
      </c>
      <c r="BC128" s="21">
        <f t="shared" si="315"/>
        <v>1</v>
      </c>
      <c r="BD128" s="21">
        <f t="shared" si="316"/>
        <v>0</v>
      </c>
      <c r="BE128" s="21">
        <f t="shared" si="317"/>
        <v>0</v>
      </c>
      <c r="BF128" s="21">
        <f>VLOOKUP($L128,EQP!$A$2:$S$10,17,0)</f>
        <v>360</v>
      </c>
      <c r="BG128" s="21">
        <f>VLOOKUP($L128,EQP!$A$2:$S$10,18,0)</f>
        <v>105</v>
      </c>
      <c r="BH128" s="21">
        <f>VLOOKUP($L128,EQP!$A$2:$S$10,19,0)</f>
        <v>260</v>
      </c>
      <c r="BI128" s="21">
        <f t="shared" si="290"/>
        <v>2</v>
      </c>
      <c r="BJ128" s="21">
        <f t="shared" si="291"/>
        <v>1</v>
      </c>
      <c r="BK128" s="21">
        <f t="shared" si="292"/>
        <v>0</v>
      </c>
      <c r="BL128" s="21">
        <f t="shared" si="318"/>
        <v>2</v>
      </c>
      <c r="BM128" s="21">
        <f t="shared" si="319"/>
        <v>0</v>
      </c>
      <c r="BN128" s="21">
        <f t="shared" si="320"/>
        <v>0</v>
      </c>
    </row>
    <row r="129" spans="1:66" x14ac:dyDescent="0.3">
      <c r="A129" s="5" t="str">
        <f t="shared" si="180"/>
        <v>1</v>
      </c>
      <c r="B129" s="6">
        <f t="shared" si="293"/>
        <v>9</v>
      </c>
      <c r="C129" s="7">
        <f t="shared" si="294"/>
        <v>14007842</v>
      </c>
      <c r="D129" s="7" t="str">
        <f t="shared" si="295"/>
        <v>DRIVER SIDE KNEE COVER RHD ASSY</v>
      </c>
      <c r="E129" s="6">
        <f t="shared" si="296"/>
        <v>170</v>
      </c>
      <c r="F129" s="6">
        <f t="shared" si="297"/>
        <v>70</v>
      </c>
      <c r="G129" s="6">
        <f t="shared" si="298"/>
        <v>265</v>
      </c>
      <c r="H129" s="6">
        <f t="shared" si="299"/>
        <v>80</v>
      </c>
      <c r="I129" s="6">
        <f t="shared" si="300"/>
        <v>1</v>
      </c>
      <c r="J129" s="6">
        <f t="shared" si="301"/>
        <v>80</v>
      </c>
      <c r="K129" s="6">
        <f t="shared" si="302"/>
        <v>40</v>
      </c>
      <c r="L129" s="5" t="str">
        <f t="shared" si="321"/>
        <v>Crate (400 x 300 x 120) mm</v>
      </c>
      <c r="M129" s="21">
        <f>VLOOKUP($L129,EQP!$A$2:$S$10,2,0)</f>
        <v>360</v>
      </c>
      <c r="N129" s="21">
        <f>VLOOKUP($L129,EQP!$A$2:$S$10,3,0)</f>
        <v>260</v>
      </c>
      <c r="O129" s="21">
        <f>VLOOKUP($L129,EQP!$A$2:$S$10,4,0)</f>
        <v>105</v>
      </c>
      <c r="P129" s="21">
        <f t="shared" si="275"/>
        <v>2</v>
      </c>
      <c r="Q129" s="21">
        <f t="shared" si="276"/>
        <v>3</v>
      </c>
      <c r="R129" s="21">
        <f t="shared" si="277"/>
        <v>0</v>
      </c>
      <c r="S129" s="21">
        <f t="shared" si="303"/>
        <v>6</v>
      </c>
      <c r="T129" s="21">
        <f t="shared" si="304"/>
        <v>0</v>
      </c>
      <c r="U129" s="21">
        <f t="shared" si="305"/>
        <v>0</v>
      </c>
      <c r="V129" s="21">
        <f>VLOOKUP($L129,EQP!$A$2:$S$10,5,0)</f>
        <v>260</v>
      </c>
      <c r="W129" s="21">
        <f>VLOOKUP($L129,EQP!$A$2:$S$10,6,0)</f>
        <v>360</v>
      </c>
      <c r="X129" s="21">
        <f>VLOOKUP($L129,EQP!$A$2:$S$10,7,0)</f>
        <v>105</v>
      </c>
      <c r="Y129" s="21">
        <f t="shared" si="278"/>
        <v>1</v>
      </c>
      <c r="Z129" s="21">
        <f t="shared" si="279"/>
        <v>4</v>
      </c>
      <c r="AA129" s="21">
        <f t="shared" si="280"/>
        <v>0</v>
      </c>
      <c r="AB129" s="21">
        <f t="shared" si="306"/>
        <v>4</v>
      </c>
      <c r="AC129" s="21">
        <f t="shared" si="307"/>
        <v>0</v>
      </c>
      <c r="AD129" s="21">
        <f t="shared" si="308"/>
        <v>0</v>
      </c>
      <c r="AE129" s="21">
        <f>VLOOKUP($L129,EQP!$A$2:$S$10,8,0)</f>
        <v>105</v>
      </c>
      <c r="AF129" s="21">
        <f>VLOOKUP($L129,EQP!$A$2:$S$10,9,0)</f>
        <v>360</v>
      </c>
      <c r="AG129" s="21">
        <f>VLOOKUP($L129,EQP!$A$2:$S$10,10,0)</f>
        <v>260</v>
      </c>
      <c r="AH129" s="21">
        <f t="shared" si="281"/>
        <v>0</v>
      </c>
      <c r="AI129" s="21">
        <f t="shared" si="282"/>
        <v>4</v>
      </c>
      <c r="AJ129" s="21">
        <f t="shared" si="283"/>
        <v>0</v>
      </c>
      <c r="AK129" s="21">
        <f t="shared" si="309"/>
        <v>0</v>
      </c>
      <c r="AL129" s="21">
        <f t="shared" si="310"/>
        <v>0</v>
      </c>
      <c r="AM129" s="21">
        <f t="shared" si="311"/>
        <v>0</v>
      </c>
      <c r="AN129" s="21">
        <f>VLOOKUP($L129,EQP!$A$2:$S$10,11,0)</f>
        <v>105</v>
      </c>
      <c r="AO129" s="21">
        <f>VLOOKUP($L129,EQP!$A$2:$S$10,12,0)</f>
        <v>260</v>
      </c>
      <c r="AP129" s="21">
        <f>VLOOKUP($L129,EQP!$A$2:$S$10,13,0)</f>
        <v>360</v>
      </c>
      <c r="AQ129" s="21">
        <f t="shared" si="284"/>
        <v>0</v>
      </c>
      <c r="AR129" s="21">
        <f t="shared" si="285"/>
        <v>3</v>
      </c>
      <c r="AS129" s="21">
        <f t="shared" si="286"/>
        <v>1</v>
      </c>
      <c r="AT129" s="21">
        <f t="shared" si="312"/>
        <v>0</v>
      </c>
      <c r="AU129" s="21">
        <f t="shared" si="313"/>
        <v>1</v>
      </c>
      <c r="AV129" s="21">
        <f t="shared" si="314"/>
        <v>0</v>
      </c>
      <c r="AW129" s="21">
        <f>VLOOKUP($L129,EQP!$A$2:$S$10,14,0)</f>
        <v>260</v>
      </c>
      <c r="AX129" s="21">
        <f>VLOOKUP($L129,EQP!$A$2:$S$10,15,0)</f>
        <v>105</v>
      </c>
      <c r="AY129" s="21">
        <f>VLOOKUP($L129,EQP!$A$2:$S$10,16,0)</f>
        <v>360</v>
      </c>
      <c r="AZ129" s="21">
        <f t="shared" si="287"/>
        <v>1</v>
      </c>
      <c r="BA129" s="21">
        <f t="shared" si="288"/>
        <v>1</v>
      </c>
      <c r="BB129" s="21">
        <f t="shared" si="289"/>
        <v>1</v>
      </c>
      <c r="BC129" s="21">
        <f t="shared" si="315"/>
        <v>1</v>
      </c>
      <c r="BD129" s="21">
        <f t="shared" si="316"/>
        <v>1</v>
      </c>
      <c r="BE129" s="21">
        <f t="shared" si="317"/>
        <v>1</v>
      </c>
      <c r="BF129" s="21">
        <f>VLOOKUP($L129,EQP!$A$2:$S$10,17,0)</f>
        <v>360</v>
      </c>
      <c r="BG129" s="21">
        <f>VLOOKUP($L129,EQP!$A$2:$S$10,18,0)</f>
        <v>105</v>
      </c>
      <c r="BH129" s="21">
        <f>VLOOKUP($L129,EQP!$A$2:$S$10,19,0)</f>
        <v>260</v>
      </c>
      <c r="BI129" s="21">
        <f t="shared" si="290"/>
        <v>2</v>
      </c>
      <c r="BJ129" s="21">
        <f t="shared" si="291"/>
        <v>1</v>
      </c>
      <c r="BK129" s="21">
        <f t="shared" si="292"/>
        <v>0</v>
      </c>
      <c r="BL129" s="21">
        <f t="shared" si="318"/>
        <v>2</v>
      </c>
      <c r="BM129" s="21">
        <f t="shared" si="319"/>
        <v>0</v>
      </c>
      <c r="BN129" s="21">
        <f t="shared" si="320"/>
        <v>0</v>
      </c>
    </row>
    <row r="130" spans="1:66" x14ac:dyDescent="0.3">
      <c r="A130" s="5" t="str">
        <f t="shared" si="180"/>
        <v>1</v>
      </c>
      <c r="B130" s="6">
        <f t="shared" si="293"/>
        <v>10</v>
      </c>
      <c r="C130" s="7">
        <f t="shared" si="294"/>
        <v>14007843</v>
      </c>
      <c r="D130" s="7" t="str">
        <f t="shared" si="295"/>
        <v>DIN_BIN</v>
      </c>
      <c r="E130" s="6">
        <f t="shared" si="296"/>
        <v>225</v>
      </c>
      <c r="F130" s="6">
        <f t="shared" si="297"/>
        <v>70</v>
      </c>
      <c r="G130" s="6">
        <f t="shared" si="298"/>
        <v>310</v>
      </c>
      <c r="H130" s="6">
        <f t="shared" si="299"/>
        <v>192</v>
      </c>
      <c r="I130" s="6">
        <f t="shared" si="300"/>
        <v>3</v>
      </c>
      <c r="J130" s="6">
        <f t="shared" si="301"/>
        <v>576</v>
      </c>
      <c r="K130" s="6">
        <f t="shared" si="302"/>
        <v>6</v>
      </c>
      <c r="L130" s="5" t="str">
        <f t="shared" si="321"/>
        <v>Crate (400 x 300 x 120) mm</v>
      </c>
      <c r="M130" s="21">
        <f>VLOOKUP($L130,EQP!$A$2:$S$10,2,0)</f>
        <v>360</v>
      </c>
      <c r="N130" s="21">
        <f>VLOOKUP($L130,EQP!$A$2:$S$10,3,0)</f>
        <v>260</v>
      </c>
      <c r="O130" s="21">
        <f>VLOOKUP($L130,EQP!$A$2:$S$10,4,0)</f>
        <v>105</v>
      </c>
      <c r="P130" s="21">
        <f t="shared" si="275"/>
        <v>1</v>
      </c>
      <c r="Q130" s="21">
        <f t="shared" si="276"/>
        <v>3</v>
      </c>
      <c r="R130" s="21">
        <f t="shared" si="277"/>
        <v>0</v>
      </c>
      <c r="S130" s="21">
        <f t="shared" si="303"/>
        <v>3</v>
      </c>
      <c r="T130" s="21">
        <f t="shared" si="304"/>
        <v>0</v>
      </c>
      <c r="U130" s="21">
        <f t="shared" si="305"/>
        <v>0</v>
      </c>
      <c r="V130" s="21">
        <f>VLOOKUP($L130,EQP!$A$2:$S$10,5,0)</f>
        <v>260</v>
      </c>
      <c r="W130" s="21">
        <f>VLOOKUP($L130,EQP!$A$2:$S$10,6,0)</f>
        <v>360</v>
      </c>
      <c r="X130" s="21">
        <f>VLOOKUP($L130,EQP!$A$2:$S$10,7,0)</f>
        <v>105</v>
      </c>
      <c r="Y130" s="21">
        <f t="shared" si="278"/>
        <v>1</v>
      </c>
      <c r="Z130" s="21">
        <f t="shared" si="279"/>
        <v>4</v>
      </c>
      <c r="AA130" s="21">
        <f t="shared" si="280"/>
        <v>0</v>
      </c>
      <c r="AB130" s="21">
        <f t="shared" si="306"/>
        <v>4</v>
      </c>
      <c r="AC130" s="21">
        <f t="shared" si="307"/>
        <v>0</v>
      </c>
      <c r="AD130" s="21">
        <f t="shared" si="308"/>
        <v>0</v>
      </c>
      <c r="AE130" s="21">
        <f>VLOOKUP($L130,EQP!$A$2:$S$10,8,0)</f>
        <v>105</v>
      </c>
      <c r="AF130" s="21">
        <f>VLOOKUP($L130,EQP!$A$2:$S$10,9,0)</f>
        <v>360</v>
      </c>
      <c r="AG130" s="21">
        <f>VLOOKUP($L130,EQP!$A$2:$S$10,10,0)</f>
        <v>260</v>
      </c>
      <c r="AH130" s="21">
        <f t="shared" si="281"/>
        <v>0</v>
      </c>
      <c r="AI130" s="21">
        <f t="shared" si="282"/>
        <v>4</v>
      </c>
      <c r="AJ130" s="21">
        <f t="shared" si="283"/>
        <v>0</v>
      </c>
      <c r="AK130" s="21">
        <f t="shared" si="309"/>
        <v>0</v>
      </c>
      <c r="AL130" s="21">
        <f t="shared" si="310"/>
        <v>0</v>
      </c>
      <c r="AM130" s="21">
        <f t="shared" si="311"/>
        <v>0</v>
      </c>
      <c r="AN130" s="21">
        <f>VLOOKUP($L130,EQP!$A$2:$S$10,11,0)</f>
        <v>105</v>
      </c>
      <c r="AO130" s="21">
        <f>VLOOKUP($L130,EQP!$A$2:$S$10,12,0)</f>
        <v>260</v>
      </c>
      <c r="AP130" s="21">
        <f>VLOOKUP($L130,EQP!$A$2:$S$10,13,0)</f>
        <v>360</v>
      </c>
      <c r="AQ130" s="21">
        <f t="shared" si="284"/>
        <v>0</v>
      </c>
      <c r="AR130" s="21">
        <f t="shared" si="285"/>
        <v>3</v>
      </c>
      <c r="AS130" s="21">
        <f t="shared" si="286"/>
        <v>1</v>
      </c>
      <c r="AT130" s="21">
        <f t="shared" si="312"/>
        <v>0</v>
      </c>
      <c r="AU130" s="21">
        <f t="shared" si="313"/>
        <v>1</v>
      </c>
      <c r="AV130" s="21">
        <f t="shared" si="314"/>
        <v>0</v>
      </c>
      <c r="AW130" s="21">
        <f>VLOOKUP($L130,EQP!$A$2:$S$10,14,0)</f>
        <v>260</v>
      </c>
      <c r="AX130" s="21">
        <f>VLOOKUP($L130,EQP!$A$2:$S$10,15,0)</f>
        <v>105</v>
      </c>
      <c r="AY130" s="21">
        <f>VLOOKUP($L130,EQP!$A$2:$S$10,16,0)</f>
        <v>360</v>
      </c>
      <c r="AZ130" s="21">
        <f t="shared" si="287"/>
        <v>1</v>
      </c>
      <c r="BA130" s="21">
        <f t="shared" si="288"/>
        <v>1</v>
      </c>
      <c r="BB130" s="21">
        <f t="shared" si="289"/>
        <v>1</v>
      </c>
      <c r="BC130" s="21">
        <f t="shared" si="315"/>
        <v>1</v>
      </c>
      <c r="BD130" s="21">
        <f t="shared" si="316"/>
        <v>1</v>
      </c>
      <c r="BE130" s="21">
        <f t="shared" si="317"/>
        <v>1</v>
      </c>
      <c r="BF130" s="21">
        <f>VLOOKUP($L130,EQP!$A$2:$S$10,17,0)</f>
        <v>360</v>
      </c>
      <c r="BG130" s="21">
        <f>VLOOKUP($L130,EQP!$A$2:$S$10,18,0)</f>
        <v>105</v>
      </c>
      <c r="BH130" s="21">
        <f>VLOOKUP($L130,EQP!$A$2:$S$10,19,0)</f>
        <v>260</v>
      </c>
      <c r="BI130" s="21">
        <f t="shared" si="290"/>
        <v>1</v>
      </c>
      <c r="BJ130" s="21">
        <f t="shared" si="291"/>
        <v>1</v>
      </c>
      <c r="BK130" s="21">
        <f t="shared" si="292"/>
        <v>0</v>
      </c>
      <c r="BL130" s="21">
        <f t="shared" si="318"/>
        <v>1</v>
      </c>
      <c r="BM130" s="21">
        <f t="shared" si="319"/>
        <v>0</v>
      </c>
      <c r="BN130" s="21">
        <f t="shared" si="320"/>
        <v>0</v>
      </c>
    </row>
    <row r="131" spans="1:66" x14ac:dyDescent="0.3">
      <c r="A131" s="5" t="str">
        <f t="shared" ref="A131:A194" si="322">IF(B131="","","1")</f>
        <v/>
      </c>
    </row>
    <row r="132" spans="1:66" x14ac:dyDescent="0.3">
      <c r="A132" s="5" t="str">
        <f t="shared" si="322"/>
        <v/>
      </c>
    </row>
    <row r="133" spans="1:66" x14ac:dyDescent="0.3">
      <c r="A133" s="5" t="str">
        <f t="shared" si="322"/>
        <v/>
      </c>
    </row>
    <row r="134" spans="1:66" x14ac:dyDescent="0.3">
      <c r="A134" s="5" t="str">
        <f t="shared" si="322"/>
        <v/>
      </c>
    </row>
    <row r="135" spans="1:66" x14ac:dyDescent="0.3">
      <c r="A135" s="5" t="str">
        <f t="shared" si="322"/>
        <v/>
      </c>
    </row>
    <row r="136" spans="1:66" x14ac:dyDescent="0.3">
      <c r="A136" s="5" t="str">
        <f t="shared" si="322"/>
        <v/>
      </c>
    </row>
    <row r="137" spans="1:66" x14ac:dyDescent="0.3">
      <c r="A137" s="5" t="str">
        <f t="shared" si="322"/>
        <v/>
      </c>
    </row>
    <row r="138" spans="1:66" x14ac:dyDescent="0.3">
      <c r="A138" s="5" t="str">
        <f t="shared" si="322"/>
        <v/>
      </c>
    </row>
    <row r="139" spans="1:66" x14ac:dyDescent="0.3">
      <c r="A139" s="5" t="str">
        <f t="shared" si="322"/>
        <v/>
      </c>
    </row>
    <row r="140" spans="1:66" x14ac:dyDescent="0.3">
      <c r="A140" s="5" t="str">
        <f t="shared" si="322"/>
        <v/>
      </c>
    </row>
    <row r="141" spans="1:66" x14ac:dyDescent="0.3">
      <c r="A141" s="5" t="str">
        <f t="shared" si="322"/>
        <v>1</v>
      </c>
      <c r="B141" s="6">
        <f>$B121</f>
        <v>1</v>
      </c>
      <c r="C141" s="7">
        <f>$C121</f>
        <v>14007834</v>
      </c>
      <c r="D141" s="7" t="str">
        <f>$D121</f>
        <v>2.0_M_CENTER BEZEL PREMIUM ASSY</v>
      </c>
      <c r="E141" s="6">
        <f>$E121</f>
        <v>274</v>
      </c>
      <c r="F141" s="6">
        <f>$F121</f>
        <v>76</v>
      </c>
      <c r="G141" s="6">
        <f>$G121</f>
        <v>620</v>
      </c>
      <c r="H141" s="6">
        <f>$H121</f>
        <v>44</v>
      </c>
      <c r="I141" s="6">
        <f>$I121</f>
        <v>1</v>
      </c>
      <c r="J141" s="6">
        <f>$J121</f>
        <v>44</v>
      </c>
      <c r="K141" s="6">
        <f>$K121</f>
        <v>80</v>
      </c>
      <c r="L141" s="5" t="str">
        <f>EQP!A9</f>
        <v>Crate (400 x 300 x 170) mm</v>
      </c>
      <c r="M141" s="21">
        <f>VLOOKUP($L141,EQP!$A$2:$S$10,2,0)</f>
        <v>360</v>
      </c>
      <c r="N141" s="21">
        <f>VLOOKUP($L141,EQP!$A$2:$S$10,3,0)</f>
        <v>260</v>
      </c>
      <c r="O141" s="21">
        <f>VLOOKUP($L141,EQP!$A$2:$S$10,4,0)</f>
        <v>155</v>
      </c>
      <c r="P141" s="21">
        <f t="shared" ref="P141:P150" si="323">ROUNDDOWN($M141/($E141+5),0)</f>
        <v>1</v>
      </c>
      <c r="Q141" s="21">
        <f t="shared" ref="Q141:Q150" si="324">ROUNDDOWN($N141/($F141+5),0)</f>
        <v>3</v>
      </c>
      <c r="R141" s="21">
        <f t="shared" ref="R141:R150" si="325">ROUNDDOWN($O141/($G141+5),0)</f>
        <v>0</v>
      </c>
      <c r="S141" s="21">
        <f>$P141*$Q141</f>
        <v>3</v>
      </c>
      <c r="T141" s="21">
        <f>R141</f>
        <v>0</v>
      </c>
      <c r="U141" s="21">
        <f>S141*T141</f>
        <v>0</v>
      </c>
      <c r="V141" s="21">
        <f>VLOOKUP($L141,EQP!$A$2:$S$10,5,0)</f>
        <v>260</v>
      </c>
      <c r="W141" s="21">
        <f>VLOOKUP($L141,EQP!$A$2:$S$10,6,0)</f>
        <v>360</v>
      </c>
      <c r="X141" s="21">
        <f>VLOOKUP($L141,EQP!$A$2:$S$10,7,0)</f>
        <v>155</v>
      </c>
      <c r="Y141" s="21">
        <f t="shared" ref="Y141:Y150" si="326">ROUNDDOWN($N141/($E141+5),0)</f>
        <v>0</v>
      </c>
      <c r="Z141" s="21">
        <f t="shared" ref="Z141:Z150" si="327">ROUNDDOWN($W141/($F141+5),0)</f>
        <v>4</v>
      </c>
      <c r="AA141" s="21">
        <f t="shared" ref="AA141:AA150" si="328">ROUNDDOWN($X141/($G141+5),0)</f>
        <v>0</v>
      </c>
      <c r="AB141" s="21">
        <f>Y141*Z141</f>
        <v>0</v>
      </c>
      <c r="AC141" s="21">
        <f>AA141</f>
        <v>0</v>
      </c>
      <c r="AD141" s="21">
        <f>AB141*AC141</f>
        <v>0</v>
      </c>
      <c r="AE141" s="21">
        <f>VLOOKUP($L141,EQP!$A$2:$S$10,8,0)</f>
        <v>155</v>
      </c>
      <c r="AF141" s="21">
        <f>VLOOKUP($L141,EQP!$A$2:$S$10,9,0)</f>
        <v>360</v>
      </c>
      <c r="AG141" s="21">
        <f>VLOOKUP($L141,EQP!$A$2:$S$10,10,0)</f>
        <v>260</v>
      </c>
      <c r="AH141" s="21">
        <f t="shared" ref="AH141:AH150" si="329">ROUNDDOWN($AE141/($E141+5),0)</f>
        <v>0</v>
      </c>
      <c r="AI141" s="21">
        <f t="shared" ref="AI141:AI150" si="330">ROUNDDOWN($AF141/($F141+5),0)</f>
        <v>4</v>
      </c>
      <c r="AJ141" s="21">
        <f t="shared" ref="AJ141:AJ150" si="331">ROUNDDOWN($AG141/($G141+5),0)</f>
        <v>0</v>
      </c>
      <c r="AK141" s="21">
        <f>AH141*AI141</f>
        <v>0</v>
      </c>
      <c r="AL141" s="21">
        <f>AJ141</f>
        <v>0</v>
      </c>
      <c r="AM141" s="21">
        <f>AK141*AL141</f>
        <v>0</v>
      </c>
      <c r="AN141" s="21">
        <f>VLOOKUP($L141,EQP!$A$2:$S$10,11,0)</f>
        <v>155</v>
      </c>
      <c r="AO141" s="21">
        <f>VLOOKUP($L141,EQP!$A$2:$S$10,12,0)</f>
        <v>260</v>
      </c>
      <c r="AP141" s="21">
        <f>VLOOKUP($L141,EQP!$A$2:$S$10,13,0)</f>
        <v>360</v>
      </c>
      <c r="AQ141" s="21">
        <f t="shared" ref="AQ141:AQ150" si="332">ROUNDDOWN($AN141/($E141+5),0)</f>
        <v>0</v>
      </c>
      <c r="AR141" s="21">
        <f t="shared" ref="AR141:AR150" si="333">ROUNDDOWN($AO141/($F141+5),0)</f>
        <v>3</v>
      </c>
      <c r="AS141" s="21">
        <f t="shared" ref="AS141:AS150" si="334">ROUNDDOWN($AP141/($G141+5),0)</f>
        <v>0</v>
      </c>
      <c r="AT141" s="21">
        <f>AQ141*AR141</f>
        <v>0</v>
      </c>
      <c r="AU141" s="21">
        <f>AS141</f>
        <v>0</v>
      </c>
      <c r="AV141" s="21">
        <f>AT141*AU141</f>
        <v>0</v>
      </c>
      <c r="AW141" s="21">
        <f>VLOOKUP($L141,EQP!$A$2:$S$10,14,0)</f>
        <v>260</v>
      </c>
      <c r="AX141" s="21">
        <f>VLOOKUP($L141,EQP!$A$2:$S$10,15,0)</f>
        <v>155</v>
      </c>
      <c r="AY141" s="21">
        <f>VLOOKUP($L141,EQP!$A$2:$S$10,16,0)</f>
        <v>360</v>
      </c>
      <c r="AZ141" s="21">
        <f t="shared" ref="AZ141:AZ150" si="335">ROUNDDOWN($AW141/($E141+5),0)</f>
        <v>0</v>
      </c>
      <c r="BA141" s="21">
        <f t="shared" ref="BA141:BA150" si="336">ROUNDDOWN($AX141/($F141+5),0)</f>
        <v>1</v>
      </c>
      <c r="BB141" s="21">
        <f t="shared" ref="BB141:BB150" si="337">ROUNDDOWN($AY141/($G141+5),0)</f>
        <v>0</v>
      </c>
      <c r="BC141" s="21">
        <f>AZ141*BA141</f>
        <v>0</v>
      </c>
      <c r="BD141" s="21">
        <f>BB141</f>
        <v>0</v>
      </c>
      <c r="BE141" s="21">
        <f>BC141*BD141</f>
        <v>0</v>
      </c>
      <c r="BF141" s="21">
        <f>VLOOKUP($L141,EQP!$A$2:$S$10,17,0)</f>
        <v>360</v>
      </c>
      <c r="BG141" s="21">
        <f>VLOOKUP($L141,EQP!$A$2:$S$10,18,0)</f>
        <v>155</v>
      </c>
      <c r="BH141" s="21">
        <f>VLOOKUP($L141,EQP!$A$2:$S$10,19,0)</f>
        <v>260</v>
      </c>
      <c r="BI141" s="21">
        <f t="shared" ref="BI141:BI150" si="338">ROUNDDOWN($BF141/($E141+5),0)</f>
        <v>1</v>
      </c>
      <c r="BJ141" s="21">
        <f t="shared" ref="BJ141:BJ150" si="339">ROUNDDOWN($BG141/($F141+5),0)</f>
        <v>1</v>
      </c>
      <c r="BK141" s="21">
        <f t="shared" ref="BK141:BK150" si="340">ROUNDDOWN($BH141/($G141+5),0)</f>
        <v>0</v>
      </c>
      <c r="BL141" s="21">
        <f>BI141*BJ141</f>
        <v>1</v>
      </c>
      <c r="BM141" s="21">
        <f>BK141</f>
        <v>0</v>
      </c>
      <c r="BN141" s="21">
        <f>BL141*BM141</f>
        <v>0</v>
      </c>
    </row>
    <row r="142" spans="1:66" x14ac:dyDescent="0.3">
      <c r="A142" s="5" t="str">
        <f t="shared" si="322"/>
        <v>1</v>
      </c>
      <c r="B142" s="6">
        <f t="shared" ref="B142:B150" si="341">$B122</f>
        <v>2</v>
      </c>
      <c r="C142" s="7">
        <f t="shared" ref="C142:C150" si="342">$C122</f>
        <v>14007835</v>
      </c>
      <c r="D142" s="7" t="str">
        <f t="shared" ref="D142:D150" si="343">$D122</f>
        <v>SHROUD UPPER</v>
      </c>
      <c r="E142" s="6">
        <f t="shared" ref="E142:E150" si="344">$E122</f>
        <v>225</v>
      </c>
      <c r="F142" s="6">
        <f t="shared" ref="F142:F150" si="345">$F122</f>
        <v>125</v>
      </c>
      <c r="G142" s="6">
        <f t="shared" ref="G142:G150" si="346">$G122</f>
        <v>190</v>
      </c>
      <c r="H142" s="6">
        <f t="shared" ref="H142:H150" si="347">$H122</f>
        <v>96</v>
      </c>
      <c r="I142" s="6">
        <f t="shared" ref="I142:I150" si="348">$I122</f>
        <v>2</v>
      </c>
      <c r="J142" s="6">
        <f t="shared" ref="J142:J150" si="349">$J122</f>
        <v>192</v>
      </c>
      <c r="K142" s="6">
        <f t="shared" ref="K142:K150" si="350">$K122</f>
        <v>18</v>
      </c>
      <c r="L142" s="5" t="str">
        <f>L141</f>
        <v>Crate (400 x 300 x 170) mm</v>
      </c>
      <c r="M142" s="21">
        <f>VLOOKUP($L142,EQP!$A$2:$S$10,2,0)</f>
        <v>360</v>
      </c>
      <c r="N142" s="21">
        <f>VLOOKUP($L142,EQP!$A$2:$S$10,3,0)</f>
        <v>260</v>
      </c>
      <c r="O142" s="21">
        <f>VLOOKUP($L142,EQP!$A$2:$S$10,4,0)</f>
        <v>155</v>
      </c>
      <c r="P142" s="21">
        <f t="shared" si="323"/>
        <v>1</v>
      </c>
      <c r="Q142" s="21">
        <f t="shared" si="324"/>
        <v>2</v>
      </c>
      <c r="R142" s="21">
        <f t="shared" si="325"/>
        <v>0</v>
      </c>
      <c r="S142" s="21">
        <f t="shared" ref="S142:S150" si="351">$P142*$Q142</f>
        <v>2</v>
      </c>
      <c r="T142" s="21">
        <f t="shared" ref="T142:T150" si="352">R142</f>
        <v>0</v>
      </c>
      <c r="U142" s="21">
        <f t="shared" ref="U142:U150" si="353">S142*T142</f>
        <v>0</v>
      </c>
      <c r="V142" s="21">
        <f>VLOOKUP($L142,EQP!$A$2:$S$10,5,0)</f>
        <v>260</v>
      </c>
      <c r="W142" s="21">
        <f>VLOOKUP($L142,EQP!$A$2:$S$10,6,0)</f>
        <v>360</v>
      </c>
      <c r="X142" s="21">
        <f>VLOOKUP($L142,EQP!$A$2:$S$10,7,0)</f>
        <v>155</v>
      </c>
      <c r="Y142" s="21">
        <f t="shared" si="326"/>
        <v>1</v>
      </c>
      <c r="Z142" s="21">
        <f t="shared" si="327"/>
        <v>2</v>
      </c>
      <c r="AA142" s="21">
        <f t="shared" si="328"/>
        <v>0</v>
      </c>
      <c r="AB142" s="21">
        <f t="shared" ref="AB142:AB150" si="354">Y142*Z142</f>
        <v>2</v>
      </c>
      <c r="AC142" s="21">
        <f t="shared" ref="AC142:AC150" si="355">AA142</f>
        <v>0</v>
      </c>
      <c r="AD142" s="21">
        <f t="shared" ref="AD142:AD150" si="356">AB142*AC142</f>
        <v>0</v>
      </c>
      <c r="AE142" s="21">
        <f>VLOOKUP($L142,EQP!$A$2:$S$10,8,0)</f>
        <v>155</v>
      </c>
      <c r="AF142" s="21">
        <f>VLOOKUP($L142,EQP!$A$2:$S$10,9,0)</f>
        <v>360</v>
      </c>
      <c r="AG142" s="21">
        <f>VLOOKUP($L142,EQP!$A$2:$S$10,10,0)</f>
        <v>260</v>
      </c>
      <c r="AH142" s="21">
        <f t="shared" si="329"/>
        <v>0</v>
      </c>
      <c r="AI142" s="21">
        <f t="shared" si="330"/>
        <v>2</v>
      </c>
      <c r="AJ142" s="21">
        <f t="shared" si="331"/>
        <v>1</v>
      </c>
      <c r="AK142" s="21">
        <f t="shared" ref="AK142:AK150" si="357">AH142*AI142</f>
        <v>0</v>
      </c>
      <c r="AL142" s="21">
        <f t="shared" ref="AL142:AL150" si="358">AJ142</f>
        <v>1</v>
      </c>
      <c r="AM142" s="21">
        <f t="shared" ref="AM142:AM150" si="359">AK142*AL142</f>
        <v>0</v>
      </c>
      <c r="AN142" s="21">
        <f>VLOOKUP($L142,EQP!$A$2:$S$10,11,0)</f>
        <v>155</v>
      </c>
      <c r="AO142" s="21">
        <f>VLOOKUP($L142,EQP!$A$2:$S$10,12,0)</f>
        <v>260</v>
      </c>
      <c r="AP142" s="21">
        <f>VLOOKUP($L142,EQP!$A$2:$S$10,13,0)</f>
        <v>360</v>
      </c>
      <c r="AQ142" s="21">
        <f t="shared" si="332"/>
        <v>0</v>
      </c>
      <c r="AR142" s="21">
        <f t="shared" si="333"/>
        <v>2</v>
      </c>
      <c r="AS142" s="21">
        <f t="shared" si="334"/>
        <v>1</v>
      </c>
      <c r="AT142" s="21">
        <f t="shared" ref="AT142:AT150" si="360">AQ142*AR142</f>
        <v>0</v>
      </c>
      <c r="AU142" s="21">
        <f t="shared" ref="AU142:AU150" si="361">AS142</f>
        <v>1</v>
      </c>
      <c r="AV142" s="21">
        <f t="shared" ref="AV142:AV150" si="362">AT142*AU142</f>
        <v>0</v>
      </c>
      <c r="AW142" s="21">
        <f>VLOOKUP($L142,EQP!$A$2:$S$10,14,0)</f>
        <v>260</v>
      </c>
      <c r="AX142" s="21">
        <f>VLOOKUP($L142,EQP!$A$2:$S$10,15,0)</f>
        <v>155</v>
      </c>
      <c r="AY142" s="21">
        <f>VLOOKUP($L142,EQP!$A$2:$S$10,16,0)</f>
        <v>360</v>
      </c>
      <c r="AZ142" s="21">
        <f t="shared" si="335"/>
        <v>1</v>
      </c>
      <c r="BA142" s="21">
        <f t="shared" si="336"/>
        <v>1</v>
      </c>
      <c r="BB142" s="21">
        <f t="shared" si="337"/>
        <v>1</v>
      </c>
      <c r="BC142" s="21">
        <f t="shared" ref="BC142:BC150" si="363">AZ142*BA142</f>
        <v>1</v>
      </c>
      <c r="BD142" s="21">
        <f t="shared" ref="BD142:BD150" si="364">BB142</f>
        <v>1</v>
      </c>
      <c r="BE142" s="21">
        <f t="shared" ref="BE142:BE150" si="365">BC142*BD142</f>
        <v>1</v>
      </c>
      <c r="BF142" s="21">
        <f>VLOOKUP($L142,EQP!$A$2:$S$10,17,0)</f>
        <v>360</v>
      </c>
      <c r="BG142" s="21">
        <f>VLOOKUP($L142,EQP!$A$2:$S$10,18,0)</f>
        <v>155</v>
      </c>
      <c r="BH142" s="21">
        <f>VLOOKUP($L142,EQP!$A$2:$S$10,19,0)</f>
        <v>260</v>
      </c>
      <c r="BI142" s="21">
        <f t="shared" si="338"/>
        <v>1</v>
      </c>
      <c r="BJ142" s="21">
        <f t="shared" si="339"/>
        <v>1</v>
      </c>
      <c r="BK142" s="21">
        <f t="shared" si="340"/>
        <v>1</v>
      </c>
      <c r="BL142" s="21">
        <f t="shared" ref="BL142:BL150" si="366">BI142*BJ142</f>
        <v>1</v>
      </c>
      <c r="BM142" s="21">
        <f t="shared" ref="BM142:BM150" si="367">BK142</f>
        <v>1</v>
      </c>
      <c r="BN142" s="21">
        <f t="shared" ref="BN142:BN150" si="368">BL142*BM142</f>
        <v>1</v>
      </c>
    </row>
    <row r="143" spans="1:66" x14ac:dyDescent="0.3">
      <c r="A143" s="5" t="str">
        <f t="shared" si="322"/>
        <v>1</v>
      </c>
      <c r="B143" s="6">
        <f t="shared" si="341"/>
        <v>3</v>
      </c>
      <c r="C143" s="7">
        <f t="shared" si="342"/>
        <v>14007836</v>
      </c>
      <c r="D143" s="7" t="str">
        <f t="shared" si="343"/>
        <v>SHROUD LOWER</v>
      </c>
      <c r="E143" s="6">
        <f t="shared" si="344"/>
        <v>435</v>
      </c>
      <c r="F143" s="6">
        <f t="shared" si="345"/>
        <v>100</v>
      </c>
      <c r="G143" s="6">
        <f t="shared" si="346"/>
        <v>210</v>
      </c>
      <c r="H143" s="6">
        <f t="shared" si="347"/>
        <v>48</v>
      </c>
      <c r="I143" s="6">
        <f t="shared" si="348"/>
        <v>1</v>
      </c>
      <c r="J143" s="6">
        <f t="shared" si="349"/>
        <v>48</v>
      </c>
      <c r="K143" s="6">
        <f t="shared" si="350"/>
        <v>75</v>
      </c>
      <c r="L143" s="5" t="str">
        <f t="shared" ref="L143:L150" si="369">L142</f>
        <v>Crate (400 x 300 x 170) mm</v>
      </c>
      <c r="M143" s="21">
        <f>VLOOKUP($L143,EQP!$A$2:$S$10,2,0)</f>
        <v>360</v>
      </c>
      <c r="N143" s="21">
        <f>VLOOKUP($L143,EQP!$A$2:$S$10,3,0)</f>
        <v>260</v>
      </c>
      <c r="O143" s="21">
        <f>VLOOKUP($L143,EQP!$A$2:$S$10,4,0)</f>
        <v>155</v>
      </c>
      <c r="P143" s="21">
        <f t="shared" si="323"/>
        <v>0</v>
      </c>
      <c r="Q143" s="21">
        <f t="shared" si="324"/>
        <v>2</v>
      </c>
      <c r="R143" s="21">
        <f t="shared" si="325"/>
        <v>0</v>
      </c>
      <c r="S143" s="21">
        <f t="shared" si="351"/>
        <v>0</v>
      </c>
      <c r="T143" s="21">
        <f t="shared" si="352"/>
        <v>0</v>
      </c>
      <c r="U143" s="21">
        <f t="shared" si="353"/>
        <v>0</v>
      </c>
      <c r="V143" s="21">
        <f>VLOOKUP($L143,EQP!$A$2:$S$10,5,0)</f>
        <v>260</v>
      </c>
      <c r="W143" s="21">
        <f>VLOOKUP($L143,EQP!$A$2:$S$10,6,0)</f>
        <v>360</v>
      </c>
      <c r="X143" s="21">
        <f>VLOOKUP($L143,EQP!$A$2:$S$10,7,0)</f>
        <v>155</v>
      </c>
      <c r="Y143" s="21">
        <f t="shared" si="326"/>
        <v>0</v>
      </c>
      <c r="Z143" s="21">
        <f t="shared" si="327"/>
        <v>3</v>
      </c>
      <c r="AA143" s="21">
        <f t="shared" si="328"/>
        <v>0</v>
      </c>
      <c r="AB143" s="21">
        <f t="shared" si="354"/>
        <v>0</v>
      </c>
      <c r="AC143" s="21">
        <f t="shared" si="355"/>
        <v>0</v>
      </c>
      <c r="AD143" s="21">
        <f t="shared" si="356"/>
        <v>0</v>
      </c>
      <c r="AE143" s="21">
        <f>VLOOKUP($L143,EQP!$A$2:$S$10,8,0)</f>
        <v>155</v>
      </c>
      <c r="AF143" s="21">
        <f>VLOOKUP($L143,EQP!$A$2:$S$10,9,0)</f>
        <v>360</v>
      </c>
      <c r="AG143" s="21">
        <f>VLOOKUP($L143,EQP!$A$2:$S$10,10,0)</f>
        <v>260</v>
      </c>
      <c r="AH143" s="21">
        <f t="shared" si="329"/>
        <v>0</v>
      </c>
      <c r="AI143" s="21">
        <f t="shared" si="330"/>
        <v>3</v>
      </c>
      <c r="AJ143" s="21">
        <f t="shared" si="331"/>
        <v>1</v>
      </c>
      <c r="AK143" s="21">
        <f t="shared" si="357"/>
        <v>0</v>
      </c>
      <c r="AL143" s="21">
        <f t="shared" si="358"/>
        <v>1</v>
      </c>
      <c r="AM143" s="21">
        <f t="shared" si="359"/>
        <v>0</v>
      </c>
      <c r="AN143" s="21">
        <f>VLOOKUP($L143,EQP!$A$2:$S$10,11,0)</f>
        <v>155</v>
      </c>
      <c r="AO143" s="21">
        <f>VLOOKUP($L143,EQP!$A$2:$S$10,12,0)</f>
        <v>260</v>
      </c>
      <c r="AP143" s="21">
        <f>VLOOKUP($L143,EQP!$A$2:$S$10,13,0)</f>
        <v>360</v>
      </c>
      <c r="AQ143" s="21">
        <f t="shared" si="332"/>
        <v>0</v>
      </c>
      <c r="AR143" s="21">
        <f t="shared" si="333"/>
        <v>2</v>
      </c>
      <c r="AS143" s="21">
        <f t="shared" si="334"/>
        <v>1</v>
      </c>
      <c r="AT143" s="21">
        <f t="shared" si="360"/>
        <v>0</v>
      </c>
      <c r="AU143" s="21">
        <f t="shared" si="361"/>
        <v>1</v>
      </c>
      <c r="AV143" s="21">
        <f t="shared" si="362"/>
        <v>0</v>
      </c>
      <c r="AW143" s="21">
        <f>VLOOKUP($L143,EQP!$A$2:$S$10,14,0)</f>
        <v>260</v>
      </c>
      <c r="AX143" s="21">
        <f>VLOOKUP($L143,EQP!$A$2:$S$10,15,0)</f>
        <v>155</v>
      </c>
      <c r="AY143" s="21">
        <f>VLOOKUP($L143,EQP!$A$2:$S$10,16,0)</f>
        <v>360</v>
      </c>
      <c r="AZ143" s="21">
        <f t="shared" si="335"/>
        <v>0</v>
      </c>
      <c r="BA143" s="21">
        <f t="shared" si="336"/>
        <v>1</v>
      </c>
      <c r="BB143" s="21">
        <f t="shared" si="337"/>
        <v>1</v>
      </c>
      <c r="BC143" s="21">
        <f t="shared" si="363"/>
        <v>0</v>
      </c>
      <c r="BD143" s="21">
        <f t="shared" si="364"/>
        <v>1</v>
      </c>
      <c r="BE143" s="21">
        <f t="shared" si="365"/>
        <v>0</v>
      </c>
      <c r="BF143" s="21">
        <f>VLOOKUP($L143,EQP!$A$2:$S$10,17,0)</f>
        <v>360</v>
      </c>
      <c r="BG143" s="21">
        <f>VLOOKUP($L143,EQP!$A$2:$S$10,18,0)</f>
        <v>155</v>
      </c>
      <c r="BH143" s="21">
        <f>VLOOKUP($L143,EQP!$A$2:$S$10,19,0)</f>
        <v>260</v>
      </c>
      <c r="BI143" s="21">
        <f t="shared" si="338"/>
        <v>0</v>
      </c>
      <c r="BJ143" s="21">
        <f t="shared" si="339"/>
        <v>1</v>
      </c>
      <c r="BK143" s="21">
        <f t="shared" si="340"/>
        <v>1</v>
      </c>
      <c r="BL143" s="21">
        <f t="shared" si="366"/>
        <v>0</v>
      </c>
      <c r="BM143" s="21">
        <f t="shared" si="367"/>
        <v>1</v>
      </c>
      <c r="BN143" s="21">
        <f t="shared" si="368"/>
        <v>0</v>
      </c>
    </row>
    <row r="144" spans="1:66" x14ac:dyDescent="0.3">
      <c r="A144" s="5" t="str">
        <f t="shared" si="322"/>
        <v>1</v>
      </c>
      <c r="B144" s="6">
        <f t="shared" si="341"/>
        <v>4</v>
      </c>
      <c r="C144" s="7">
        <f t="shared" si="342"/>
        <v>14007837</v>
      </c>
      <c r="D144" s="7" t="str">
        <f t="shared" si="343"/>
        <v>CLUSTER BEZEL LOWER ASSY</v>
      </c>
      <c r="E144" s="6">
        <f t="shared" si="344"/>
        <v>365</v>
      </c>
      <c r="F144" s="6">
        <f t="shared" si="345"/>
        <v>63</v>
      </c>
      <c r="G144" s="6">
        <f t="shared" si="346"/>
        <v>225</v>
      </c>
      <c r="H144" s="6">
        <f t="shared" si="347"/>
        <v>96</v>
      </c>
      <c r="I144" s="6">
        <f t="shared" si="348"/>
        <v>1</v>
      </c>
      <c r="J144" s="6">
        <f t="shared" si="349"/>
        <v>96</v>
      </c>
      <c r="K144" s="6">
        <f t="shared" si="350"/>
        <v>38</v>
      </c>
      <c r="L144" s="5" t="str">
        <f t="shared" si="369"/>
        <v>Crate (400 x 300 x 170) mm</v>
      </c>
      <c r="M144" s="21">
        <f>VLOOKUP($L144,EQP!$A$2:$S$10,2,0)</f>
        <v>360</v>
      </c>
      <c r="N144" s="21">
        <f>VLOOKUP($L144,EQP!$A$2:$S$10,3,0)</f>
        <v>260</v>
      </c>
      <c r="O144" s="21">
        <f>VLOOKUP($L144,EQP!$A$2:$S$10,4,0)</f>
        <v>155</v>
      </c>
      <c r="P144" s="21">
        <f t="shared" si="323"/>
        <v>0</v>
      </c>
      <c r="Q144" s="21">
        <f t="shared" si="324"/>
        <v>3</v>
      </c>
      <c r="R144" s="21">
        <f t="shared" si="325"/>
        <v>0</v>
      </c>
      <c r="S144" s="21">
        <f t="shared" si="351"/>
        <v>0</v>
      </c>
      <c r="T144" s="21">
        <f t="shared" si="352"/>
        <v>0</v>
      </c>
      <c r="U144" s="21">
        <f t="shared" si="353"/>
        <v>0</v>
      </c>
      <c r="V144" s="21">
        <f>VLOOKUP($L144,EQP!$A$2:$S$10,5,0)</f>
        <v>260</v>
      </c>
      <c r="W144" s="21">
        <f>VLOOKUP($L144,EQP!$A$2:$S$10,6,0)</f>
        <v>360</v>
      </c>
      <c r="X144" s="21">
        <f>VLOOKUP($L144,EQP!$A$2:$S$10,7,0)</f>
        <v>155</v>
      </c>
      <c r="Y144" s="21">
        <f t="shared" si="326"/>
        <v>0</v>
      </c>
      <c r="Z144" s="21">
        <f t="shared" si="327"/>
        <v>5</v>
      </c>
      <c r="AA144" s="21">
        <f t="shared" si="328"/>
        <v>0</v>
      </c>
      <c r="AB144" s="21">
        <f t="shared" si="354"/>
        <v>0</v>
      </c>
      <c r="AC144" s="21">
        <f t="shared" si="355"/>
        <v>0</v>
      </c>
      <c r="AD144" s="21">
        <f t="shared" si="356"/>
        <v>0</v>
      </c>
      <c r="AE144" s="21">
        <f>VLOOKUP($L144,EQP!$A$2:$S$10,8,0)</f>
        <v>155</v>
      </c>
      <c r="AF144" s="21">
        <f>VLOOKUP($L144,EQP!$A$2:$S$10,9,0)</f>
        <v>360</v>
      </c>
      <c r="AG144" s="21">
        <f>VLOOKUP($L144,EQP!$A$2:$S$10,10,0)</f>
        <v>260</v>
      </c>
      <c r="AH144" s="21">
        <f t="shared" si="329"/>
        <v>0</v>
      </c>
      <c r="AI144" s="21">
        <f t="shared" si="330"/>
        <v>5</v>
      </c>
      <c r="AJ144" s="21">
        <f t="shared" si="331"/>
        <v>1</v>
      </c>
      <c r="AK144" s="21">
        <f t="shared" si="357"/>
        <v>0</v>
      </c>
      <c r="AL144" s="21">
        <f t="shared" si="358"/>
        <v>1</v>
      </c>
      <c r="AM144" s="21">
        <f t="shared" si="359"/>
        <v>0</v>
      </c>
      <c r="AN144" s="21">
        <f>VLOOKUP($L144,EQP!$A$2:$S$10,11,0)</f>
        <v>155</v>
      </c>
      <c r="AO144" s="21">
        <f>VLOOKUP($L144,EQP!$A$2:$S$10,12,0)</f>
        <v>260</v>
      </c>
      <c r="AP144" s="21">
        <f>VLOOKUP($L144,EQP!$A$2:$S$10,13,0)</f>
        <v>360</v>
      </c>
      <c r="AQ144" s="21">
        <f t="shared" si="332"/>
        <v>0</v>
      </c>
      <c r="AR144" s="21">
        <f t="shared" si="333"/>
        <v>3</v>
      </c>
      <c r="AS144" s="21">
        <f t="shared" si="334"/>
        <v>1</v>
      </c>
      <c r="AT144" s="21">
        <f t="shared" si="360"/>
        <v>0</v>
      </c>
      <c r="AU144" s="21">
        <f t="shared" si="361"/>
        <v>1</v>
      </c>
      <c r="AV144" s="21">
        <f t="shared" si="362"/>
        <v>0</v>
      </c>
      <c r="AW144" s="21">
        <f>VLOOKUP($L144,EQP!$A$2:$S$10,14,0)</f>
        <v>260</v>
      </c>
      <c r="AX144" s="21">
        <f>VLOOKUP($L144,EQP!$A$2:$S$10,15,0)</f>
        <v>155</v>
      </c>
      <c r="AY144" s="21">
        <f>VLOOKUP($L144,EQP!$A$2:$S$10,16,0)</f>
        <v>360</v>
      </c>
      <c r="AZ144" s="21">
        <f t="shared" si="335"/>
        <v>0</v>
      </c>
      <c r="BA144" s="21">
        <f t="shared" si="336"/>
        <v>2</v>
      </c>
      <c r="BB144" s="21">
        <f t="shared" si="337"/>
        <v>1</v>
      </c>
      <c r="BC144" s="21">
        <f t="shared" si="363"/>
        <v>0</v>
      </c>
      <c r="BD144" s="21">
        <f t="shared" si="364"/>
        <v>1</v>
      </c>
      <c r="BE144" s="21">
        <f t="shared" si="365"/>
        <v>0</v>
      </c>
      <c r="BF144" s="21">
        <f>VLOOKUP($L144,EQP!$A$2:$S$10,17,0)</f>
        <v>360</v>
      </c>
      <c r="BG144" s="21">
        <f>VLOOKUP($L144,EQP!$A$2:$S$10,18,0)</f>
        <v>155</v>
      </c>
      <c r="BH144" s="21">
        <f>VLOOKUP($L144,EQP!$A$2:$S$10,19,0)</f>
        <v>260</v>
      </c>
      <c r="BI144" s="21">
        <f t="shared" si="338"/>
        <v>0</v>
      </c>
      <c r="BJ144" s="21">
        <f t="shared" si="339"/>
        <v>2</v>
      </c>
      <c r="BK144" s="21">
        <f t="shared" si="340"/>
        <v>1</v>
      </c>
      <c r="BL144" s="21">
        <f t="shared" si="366"/>
        <v>0</v>
      </c>
      <c r="BM144" s="21">
        <f t="shared" si="367"/>
        <v>1</v>
      </c>
      <c r="BN144" s="21">
        <f t="shared" si="368"/>
        <v>0</v>
      </c>
    </row>
    <row r="145" spans="1:66" x14ac:dyDescent="0.3">
      <c r="A145" s="5" t="str">
        <f t="shared" si="322"/>
        <v>1</v>
      </c>
      <c r="B145" s="6">
        <f t="shared" si="341"/>
        <v>5</v>
      </c>
      <c r="C145" s="7">
        <f t="shared" si="342"/>
        <v>14007838</v>
      </c>
      <c r="D145" s="7" t="str">
        <f t="shared" si="343"/>
        <v>DRIVER SIDE BOOSTER COVER ASSY</v>
      </c>
      <c r="E145" s="6">
        <f t="shared" si="344"/>
        <v>410</v>
      </c>
      <c r="F145" s="6">
        <f t="shared" si="345"/>
        <v>280</v>
      </c>
      <c r="G145" s="6">
        <f t="shared" si="346"/>
        <v>160</v>
      </c>
      <c r="H145" s="6">
        <f t="shared" si="347"/>
        <v>16</v>
      </c>
      <c r="I145" s="6">
        <f t="shared" si="348"/>
        <v>1</v>
      </c>
      <c r="J145" s="6">
        <f t="shared" si="349"/>
        <v>16</v>
      </c>
      <c r="K145" s="6">
        <f t="shared" si="350"/>
        <v>202</v>
      </c>
      <c r="L145" s="5" t="str">
        <f t="shared" si="369"/>
        <v>Crate (400 x 300 x 170) mm</v>
      </c>
      <c r="M145" s="21">
        <f>VLOOKUP($L145,EQP!$A$2:$S$10,2,0)</f>
        <v>360</v>
      </c>
      <c r="N145" s="21">
        <f>VLOOKUP($L145,EQP!$A$2:$S$10,3,0)</f>
        <v>260</v>
      </c>
      <c r="O145" s="21">
        <f>VLOOKUP($L145,EQP!$A$2:$S$10,4,0)</f>
        <v>155</v>
      </c>
      <c r="P145" s="21">
        <f t="shared" si="323"/>
        <v>0</v>
      </c>
      <c r="Q145" s="21">
        <f t="shared" si="324"/>
        <v>0</v>
      </c>
      <c r="R145" s="21">
        <f t="shared" si="325"/>
        <v>0</v>
      </c>
      <c r="S145" s="21">
        <f t="shared" si="351"/>
        <v>0</v>
      </c>
      <c r="T145" s="21">
        <f t="shared" si="352"/>
        <v>0</v>
      </c>
      <c r="U145" s="21">
        <f t="shared" si="353"/>
        <v>0</v>
      </c>
      <c r="V145" s="21">
        <f>VLOOKUP($L145,EQP!$A$2:$S$10,5,0)</f>
        <v>260</v>
      </c>
      <c r="W145" s="21">
        <f>VLOOKUP($L145,EQP!$A$2:$S$10,6,0)</f>
        <v>360</v>
      </c>
      <c r="X145" s="21">
        <f>VLOOKUP($L145,EQP!$A$2:$S$10,7,0)</f>
        <v>155</v>
      </c>
      <c r="Y145" s="21">
        <f t="shared" si="326"/>
        <v>0</v>
      </c>
      <c r="Z145" s="21">
        <f t="shared" si="327"/>
        <v>1</v>
      </c>
      <c r="AA145" s="21">
        <f t="shared" si="328"/>
        <v>0</v>
      </c>
      <c r="AB145" s="21">
        <f t="shared" si="354"/>
        <v>0</v>
      </c>
      <c r="AC145" s="21">
        <f t="shared" si="355"/>
        <v>0</v>
      </c>
      <c r="AD145" s="21">
        <f t="shared" si="356"/>
        <v>0</v>
      </c>
      <c r="AE145" s="21">
        <f>VLOOKUP($L145,EQP!$A$2:$S$10,8,0)</f>
        <v>155</v>
      </c>
      <c r="AF145" s="21">
        <f>VLOOKUP($L145,EQP!$A$2:$S$10,9,0)</f>
        <v>360</v>
      </c>
      <c r="AG145" s="21">
        <f>VLOOKUP($L145,EQP!$A$2:$S$10,10,0)</f>
        <v>260</v>
      </c>
      <c r="AH145" s="21">
        <f t="shared" si="329"/>
        <v>0</v>
      </c>
      <c r="AI145" s="21">
        <f t="shared" si="330"/>
        <v>1</v>
      </c>
      <c r="AJ145" s="21">
        <f t="shared" si="331"/>
        <v>1</v>
      </c>
      <c r="AK145" s="21">
        <f t="shared" si="357"/>
        <v>0</v>
      </c>
      <c r="AL145" s="21">
        <f t="shared" si="358"/>
        <v>1</v>
      </c>
      <c r="AM145" s="21">
        <f t="shared" si="359"/>
        <v>0</v>
      </c>
      <c r="AN145" s="21">
        <f>VLOOKUP($L145,EQP!$A$2:$S$10,11,0)</f>
        <v>155</v>
      </c>
      <c r="AO145" s="21">
        <f>VLOOKUP($L145,EQP!$A$2:$S$10,12,0)</f>
        <v>260</v>
      </c>
      <c r="AP145" s="21">
        <f>VLOOKUP($L145,EQP!$A$2:$S$10,13,0)</f>
        <v>360</v>
      </c>
      <c r="AQ145" s="21">
        <f t="shared" si="332"/>
        <v>0</v>
      </c>
      <c r="AR145" s="21">
        <f t="shared" si="333"/>
        <v>0</v>
      </c>
      <c r="AS145" s="21">
        <f t="shared" si="334"/>
        <v>2</v>
      </c>
      <c r="AT145" s="21">
        <f t="shared" si="360"/>
        <v>0</v>
      </c>
      <c r="AU145" s="21">
        <f t="shared" si="361"/>
        <v>2</v>
      </c>
      <c r="AV145" s="21">
        <f t="shared" si="362"/>
        <v>0</v>
      </c>
      <c r="AW145" s="21">
        <f>VLOOKUP($L145,EQP!$A$2:$S$10,14,0)</f>
        <v>260</v>
      </c>
      <c r="AX145" s="21">
        <f>VLOOKUP($L145,EQP!$A$2:$S$10,15,0)</f>
        <v>155</v>
      </c>
      <c r="AY145" s="21">
        <f>VLOOKUP($L145,EQP!$A$2:$S$10,16,0)</f>
        <v>360</v>
      </c>
      <c r="AZ145" s="21">
        <f t="shared" si="335"/>
        <v>0</v>
      </c>
      <c r="BA145" s="21">
        <f t="shared" si="336"/>
        <v>0</v>
      </c>
      <c r="BB145" s="21">
        <f t="shared" si="337"/>
        <v>2</v>
      </c>
      <c r="BC145" s="21">
        <f t="shared" si="363"/>
        <v>0</v>
      </c>
      <c r="BD145" s="21">
        <f t="shared" si="364"/>
        <v>2</v>
      </c>
      <c r="BE145" s="21">
        <f t="shared" si="365"/>
        <v>0</v>
      </c>
      <c r="BF145" s="21">
        <f>VLOOKUP($L145,EQP!$A$2:$S$10,17,0)</f>
        <v>360</v>
      </c>
      <c r="BG145" s="21">
        <f>VLOOKUP($L145,EQP!$A$2:$S$10,18,0)</f>
        <v>155</v>
      </c>
      <c r="BH145" s="21">
        <f>VLOOKUP($L145,EQP!$A$2:$S$10,19,0)</f>
        <v>260</v>
      </c>
      <c r="BI145" s="21">
        <f t="shared" si="338"/>
        <v>0</v>
      </c>
      <c r="BJ145" s="21">
        <f t="shared" si="339"/>
        <v>0</v>
      </c>
      <c r="BK145" s="21">
        <f t="shared" si="340"/>
        <v>1</v>
      </c>
      <c r="BL145" s="21">
        <f t="shared" si="366"/>
        <v>0</v>
      </c>
      <c r="BM145" s="21">
        <f t="shared" si="367"/>
        <v>1</v>
      </c>
      <c r="BN145" s="21">
        <f t="shared" si="368"/>
        <v>0</v>
      </c>
    </row>
    <row r="146" spans="1:66" x14ac:dyDescent="0.3">
      <c r="A146" s="5" t="str">
        <f t="shared" si="322"/>
        <v>1</v>
      </c>
      <c r="B146" s="6">
        <f t="shared" si="341"/>
        <v>6</v>
      </c>
      <c r="C146" s="7">
        <f t="shared" si="342"/>
        <v>14007839</v>
      </c>
      <c r="D146" s="7" t="str">
        <f t="shared" si="343"/>
        <v>PASSENGER SIDE KNEE COVER RHD ASSY</v>
      </c>
      <c r="E146" s="6">
        <f t="shared" si="344"/>
        <v>380</v>
      </c>
      <c r="F146" s="6">
        <f t="shared" si="345"/>
        <v>110</v>
      </c>
      <c r="G146" s="6">
        <f t="shared" si="346"/>
        <v>295</v>
      </c>
      <c r="H146" s="6">
        <f t="shared" si="347"/>
        <v>64</v>
      </c>
      <c r="I146" s="6">
        <f t="shared" si="348"/>
        <v>1</v>
      </c>
      <c r="J146" s="6">
        <f t="shared" si="349"/>
        <v>64</v>
      </c>
      <c r="K146" s="6">
        <f t="shared" si="350"/>
        <v>50</v>
      </c>
      <c r="L146" s="5" t="str">
        <f t="shared" si="369"/>
        <v>Crate (400 x 300 x 170) mm</v>
      </c>
      <c r="M146" s="21">
        <f>VLOOKUP($L146,EQP!$A$2:$S$10,2,0)</f>
        <v>360</v>
      </c>
      <c r="N146" s="21">
        <f>VLOOKUP($L146,EQP!$A$2:$S$10,3,0)</f>
        <v>260</v>
      </c>
      <c r="O146" s="21">
        <f>VLOOKUP($L146,EQP!$A$2:$S$10,4,0)</f>
        <v>155</v>
      </c>
      <c r="P146" s="21">
        <f t="shared" si="323"/>
        <v>0</v>
      </c>
      <c r="Q146" s="21">
        <f t="shared" si="324"/>
        <v>2</v>
      </c>
      <c r="R146" s="21">
        <f t="shared" si="325"/>
        <v>0</v>
      </c>
      <c r="S146" s="21">
        <f t="shared" si="351"/>
        <v>0</v>
      </c>
      <c r="T146" s="21">
        <f t="shared" si="352"/>
        <v>0</v>
      </c>
      <c r="U146" s="21">
        <f t="shared" si="353"/>
        <v>0</v>
      </c>
      <c r="V146" s="21">
        <f>VLOOKUP($L146,EQP!$A$2:$S$10,5,0)</f>
        <v>260</v>
      </c>
      <c r="W146" s="21">
        <f>VLOOKUP($L146,EQP!$A$2:$S$10,6,0)</f>
        <v>360</v>
      </c>
      <c r="X146" s="21">
        <f>VLOOKUP($L146,EQP!$A$2:$S$10,7,0)</f>
        <v>155</v>
      </c>
      <c r="Y146" s="21">
        <f t="shared" si="326"/>
        <v>0</v>
      </c>
      <c r="Z146" s="21">
        <f t="shared" si="327"/>
        <v>3</v>
      </c>
      <c r="AA146" s="21">
        <f t="shared" si="328"/>
        <v>0</v>
      </c>
      <c r="AB146" s="21">
        <f t="shared" si="354"/>
        <v>0</v>
      </c>
      <c r="AC146" s="21">
        <f t="shared" si="355"/>
        <v>0</v>
      </c>
      <c r="AD146" s="21">
        <f t="shared" si="356"/>
        <v>0</v>
      </c>
      <c r="AE146" s="21">
        <f>VLOOKUP($L146,EQP!$A$2:$S$10,8,0)</f>
        <v>155</v>
      </c>
      <c r="AF146" s="21">
        <f>VLOOKUP($L146,EQP!$A$2:$S$10,9,0)</f>
        <v>360</v>
      </c>
      <c r="AG146" s="21">
        <f>VLOOKUP($L146,EQP!$A$2:$S$10,10,0)</f>
        <v>260</v>
      </c>
      <c r="AH146" s="21">
        <f t="shared" si="329"/>
        <v>0</v>
      </c>
      <c r="AI146" s="21">
        <f t="shared" si="330"/>
        <v>3</v>
      </c>
      <c r="AJ146" s="21">
        <f t="shared" si="331"/>
        <v>0</v>
      </c>
      <c r="AK146" s="21">
        <f t="shared" si="357"/>
        <v>0</v>
      </c>
      <c r="AL146" s="21">
        <f t="shared" si="358"/>
        <v>0</v>
      </c>
      <c r="AM146" s="21">
        <f t="shared" si="359"/>
        <v>0</v>
      </c>
      <c r="AN146" s="21">
        <f>VLOOKUP($L146,EQP!$A$2:$S$10,11,0)</f>
        <v>155</v>
      </c>
      <c r="AO146" s="21">
        <f>VLOOKUP($L146,EQP!$A$2:$S$10,12,0)</f>
        <v>260</v>
      </c>
      <c r="AP146" s="21">
        <f>VLOOKUP($L146,EQP!$A$2:$S$10,13,0)</f>
        <v>360</v>
      </c>
      <c r="AQ146" s="21">
        <f t="shared" si="332"/>
        <v>0</v>
      </c>
      <c r="AR146" s="21">
        <f t="shared" si="333"/>
        <v>2</v>
      </c>
      <c r="AS146" s="21">
        <f t="shared" si="334"/>
        <v>1</v>
      </c>
      <c r="AT146" s="21">
        <f t="shared" si="360"/>
        <v>0</v>
      </c>
      <c r="AU146" s="21">
        <f t="shared" si="361"/>
        <v>1</v>
      </c>
      <c r="AV146" s="21">
        <f t="shared" si="362"/>
        <v>0</v>
      </c>
      <c r="AW146" s="21">
        <f>VLOOKUP($L146,EQP!$A$2:$S$10,14,0)</f>
        <v>260</v>
      </c>
      <c r="AX146" s="21">
        <f>VLOOKUP($L146,EQP!$A$2:$S$10,15,0)</f>
        <v>155</v>
      </c>
      <c r="AY146" s="21">
        <f>VLOOKUP($L146,EQP!$A$2:$S$10,16,0)</f>
        <v>360</v>
      </c>
      <c r="AZ146" s="21">
        <f t="shared" si="335"/>
        <v>0</v>
      </c>
      <c r="BA146" s="21">
        <f t="shared" si="336"/>
        <v>1</v>
      </c>
      <c r="BB146" s="21">
        <f t="shared" si="337"/>
        <v>1</v>
      </c>
      <c r="BC146" s="21">
        <f t="shared" si="363"/>
        <v>0</v>
      </c>
      <c r="BD146" s="21">
        <f t="shared" si="364"/>
        <v>1</v>
      </c>
      <c r="BE146" s="21">
        <f t="shared" si="365"/>
        <v>0</v>
      </c>
      <c r="BF146" s="21">
        <f>VLOOKUP($L146,EQP!$A$2:$S$10,17,0)</f>
        <v>360</v>
      </c>
      <c r="BG146" s="21">
        <f>VLOOKUP($L146,EQP!$A$2:$S$10,18,0)</f>
        <v>155</v>
      </c>
      <c r="BH146" s="21">
        <f>VLOOKUP($L146,EQP!$A$2:$S$10,19,0)</f>
        <v>260</v>
      </c>
      <c r="BI146" s="21">
        <f t="shared" si="338"/>
        <v>0</v>
      </c>
      <c r="BJ146" s="21">
        <f t="shared" si="339"/>
        <v>1</v>
      </c>
      <c r="BK146" s="21">
        <f t="shared" si="340"/>
        <v>0</v>
      </c>
      <c r="BL146" s="21">
        <f t="shared" si="366"/>
        <v>0</v>
      </c>
      <c r="BM146" s="21">
        <f t="shared" si="367"/>
        <v>0</v>
      </c>
      <c r="BN146" s="21">
        <f t="shared" si="368"/>
        <v>0</v>
      </c>
    </row>
    <row r="147" spans="1:66" x14ac:dyDescent="0.3">
      <c r="A147" s="5" t="str">
        <f t="shared" si="322"/>
        <v>1</v>
      </c>
      <c r="B147" s="6">
        <f t="shared" si="341"/>
        <v>7</v>
      </c>
      <c r="C147" s="7">
        <f t="shared" si="342"/>
        <v>14007840</v>
      </c>
      <c r="D147" s="7" t="str">
        <f t="shared" si="343"/>
        <v>END CAP LH ASSY</v>
      </c>
      <c r="E147" s="6">
        <f t="shared" si="344"/>
        <v>130</v>
      </c>
      <c r="F147" s="6">
        <f t="shared" si="345"/>
        <v>50</v>
      </c>
      <c r="G147" s="6">
        <f t="shared" si="346"/>
        <v>385</v>
      </c>
      <c r="H147" s="6">
        <f t="shared" si="347"/>
        <v>192</v>
      </c>
      <c r="I147" s="6">
        <f t="shared" si="348"/>
        <v>1</v>
      </c>
      <c r="J147" s="6">
        <f t="shared" si="349"/>
        <v>192</v>
      </c>
      <c r="K147" s="6">
        <f t="shared" si="350"/>
        <v>18</v>
      </c>
      <c r="L147" s="5" t="str">
        <f t="shared" si="369"/>
        <v>Crate (400 x 300 x 170) mm</v>
      </c>
      <c r="M147" s="21">
        <f>VLOOKUP($L147,EQP!$A$2:$S$10,2,0)</f>
        <v>360</v>
      </c>
      <c r="N147" s="21">
        <f>VLOOKUP($L147,EQP!$A$2:$S$10,3,0)</f>
        <v>260</v>
      </c>
      <c r="O147" s="21">
        <f>VLOOKUP($L147,EQP!$A$2:$S$10,4,0)</f>
        <v>155</v>
      </c>
      <c r="P147" s="21">
        <f t="shared" si="323"/>
        <v>2</v>
      </c>
      <c r="Q147" s="21">
        <f t="shared" si="324"/>
        <v>4</v>
      </c>
      <c r="R147" s="21">
        <f t="shared" si="325"/>
        <v>0</v>
      </c>
      <c r="S147" s="21">
        <f t="shared" si="351"/>
        <v>8</v>
      </c>
      <c r="T147" s="21">
        <f t="shared" si="352"/>
        <v>0</v>
      </c>
      <c r="U147" s="21">
        <f t="shared" si="353"/>
        <v>0</v>
      </c>
      <c r="V147" s="21">
        <f>VLOOKUP($L147,EQP!$A$2:$S$10,5,0)</f>
        <v>260</v>
      </c>
      <c r="W147" s="21">
        <f>VLOOKUP($L147,EQP!$A$2:$S$10,6,0)</f>
        <v>360</v>
      </c>
      <c r="X147" s="21">
        <f>VLOOKUP($L147,EQP!$A$2:$S$10,7,0)</f>
        <v>155</v>
      </c>
      <c r="Y147" s="21">
        <f t="shared" si="326"/>
        <v>1</v>
      </c>
      <c r="Z147" s="21">
        <f t="shared" si="327"/>
        <v>6</v>
      </c>
      <c r="AA147" s="21">
        <f t="shared" si="328"/>
        <v>0</v>
      </c>
      <c r="AB147" s="21">
        <f t="shared" si="354"/>
        <v>6</v>
      </c>
      <c r="AC147" s="21">
        <f t="shared" si="355"/>
        <v>0</v>
      </c>
      <c r="AD147" s="21">
        <f t="shared" si="356"/>
        <v>0</v>
      </c>
      <c r="AE147" s="21">
        <f>VLOOKUP($L147,EQP!$A$2:$S$10,8,0)</f>
        <v>155</v>
      </c>
      <c r="AF147" s="21">
        <f>VLOOKUP($L147,EQP!$A$2:$S$10,9,0)</f>
        <v>360</v>
      </c>
      <c r="AG147" s="21">
        <f>VLOOKUP($L147,EQP!$A$2:$S$10,10,0)</f>
        <v>260</v>
      </c>
      <c r="AH147" s="21">
        <f t="shared" si="329"/>
        <v>1</v>
      </c>
      <c r="AI147" s="21">
        <f t="shared" si="330"/>
        <v>6</v>
      </c>
      <c r="AJ147" s="21">
        <f t="shared" si="331"/>
        <v>0</v>
      </c>
      <c r="AK147" s="21">
        <f t="shared" si="357"/>
        <v>6</v>
      </c>
      <c r="AL147" s="21">
        <f t="shared" si="358"/>
        <v>0</v>
      </c>
      <c r="AM147" s="21">
        <f t="shared" si="359"/>
        <v>0</v>
      </c>
      <c r="AN147" s="21">
        <f>VLOOKUP($L147,EQP!$A$2:$S$10,11,0)</f>
        <v>155</v>
      </c>
      <c r="AO147" s="21">
        <f>VLOOKUP($L147,EQP!$A$2:$S$10,12,0)</f>
        <v>260</v>
      </c>
      <c r="AP147" s="21">
        <f>VLOOKUP($L147,EQP!$A$2:$S$10,13,0)</f>
        <v>360</v>
      </c>
      <c r="AQ147" s="21">
        <f t="shared" si="332"/>
        <v>1</v>
      </c>
      <c r="AR147" s="21">
        <f t="shared" si="333"/>
        <v>4</v>
      </c>
      <c r="AS147" s="21">
        <f t="shared" si="334"/>
        <v>0</v>
      </c>
      <c r="AT147" s="21">
        <f t="shared" si="360"/>
        <v>4</v>
      </c>
      <c r="AU147" s="21">
        <f t="shared" si="361"/>
        <v>0</v>
      </c>
      <c r="AV147" s="21">
        <f t="shared" si="362"/>
        <v>0</v>
      </c>
      <c r="AW147" s="21">
        <f>VLOOKUP($L147,EQP!$A$2:$S$10,14,0)</f>
        <v>260</v>
      </c>
      <c r="AX147" s="21">
        <f>VLOOKUP($L147,EQP!$A$2:$S$10,15,0)</f>
        <v>155</v>
      </c>
      <c r="AY147" s="21">
        <f>VLOOKUP($L147,EQP!$A$2:$S$10,16,0)</f>
        <v>360</v>
      </c>
      <c r="AZ147" s="21">
        <f t="shared" si="335"/>
        <v>1</v>
      </c>
      <c r="BA147" s="21">
        <f t="shared" si="336"/>
        <v>2</v>
      </c>
      <c r="BB147" s="21">
        <f t="shared" si="337"/>
        <v>0</v>
      </c>
      <c r="BC147" s="21">
        <f t="shared" si="363"/>
        <v>2</v>
      </c>
      <c r="BD147" s="21">
        <f t="shared" si="364"/>
        <v>0</v>
      </c>
      <c r="BE147" s="21">
        <f t="shared" si="365"/>
        <v>0</v>
      </c>
      <c r="BF147" s="21">
        <f>VLOOKUP($L147,EQP!$A$2:$S$10,17,0)</f>
        <v>360</v>
      </c>
      <c r="BG147" s="21">
        <f>VLOOKUP($L147,EQP!$A$2:$S$10,18,0)</f>
        <v>155</v>
      </c>
      <c r="BH147" s="21">
        <f>VLOOKUP($L147,EQP!$A$2:$S$10,19,0)</f>
        <v>260</v>
      </c>
      <c r="BI147" s="21">
        <f t="shared" si="338"/>
        <v>2</v>
      </c>
      <c r="BJ147" s="21">
        <f t="shared" si="339"/>
        <v>2</v>
      </c>
      <c r="BK147" s="21">
        <f t="shared" si="340"/>
        <v>0</v>
      </c>
      <c r="BL147" s="21">
        <f t="shared" si="366"/>
        <v>4</v>
      </c>
      <c r="BM147" s="21">
        <f t="shared" si="367"/>
        <v>0</v>
      </c>
      <c r="BN147" s="21">
        <f t="shared" si="368"/>
        <v>0</v>
      </c>
    </row>
    <row r="148" spans="1:66" x14ac:dyDescent="0.3">
      <c r="A148" s="5" t="str">
        <f t="shared" si="322"/>
        <v>1</v>
      </c>
      <c r="B148" s="6">
        <f t="shared" si="341"/>
        <v>8</v>
      </c>
      <c r="C148" s="7">
        <f t="shared" si="342"/>
        <v>14007841</v>
      </c>
      <c r="D148" s="7" t="str">
        <f t="shared" si="343"/>
        <v>END CAP RH ASSY</v>
      </c>
      <c r="E148" s="6">
        <f t="shared" si="344"/>
        <v>130</v>
      </c>
      <c r="F148" s="6">
        <f t="shared" si="345"/>
        <v>50</v>
      </c>
      <c r="G148" s="6">
        <f t="shared" si="346"/>
        <v>385</v>
      </c>
      <c r="H148" s="6">
        <f t="shared" si="347"/>
        <v>192</v>
      </c>
      <c r="I148" s="6">
        <f t="shared" si="348"/>
        <v>1</v>
      </c>
      <c r="J148" s="6">
        <f t="shared" si="349"/>
        <v>192</v>
      </c>
      <c r="K148" s="6">
        <f t="shared" si="350"/>
        <v>18</v>
      </c>
      <c r="L148" s="5" t="str">
        <f t="shared" si="369"/>
        <v>Crate (400 x 300 x 170) mm</v>
      </c>
      <c r="M148" s="21">
        <f>VLOOKUP($L148,EQP!$A$2:$S$10,2,0)</f>
        <v>360</v>
      </c>
      <c r="N148" s="21">
        <f>VLOOKUP($L148,EQP!$A$2:$S$10,3,0)</f>
        <v>260</v>
      </c>
      <c r="O148" s="21">
        <f>VLOOKUP($L148,EQP!$A$2:$S$10,4,0)</f>
        <v>155</v>
      </c>
      <c r="P148" s="21">
        <f t="shared" si="323"/>
        <v>2</v>
      </c>
      <c r="Q148" s="21">
        <f t="shared" si="324"/>
        <v>4</v>
      </c>
      <c r="R148" s="21">
        <f t="shared" si="325"/>
        <v>0</v>
      </c>
      <c r="S148" s="21">
        <f t="shared" si="351"/>
        <v>8</v>
      </c>
      <c r="T148" s="21">
        <f t="shared" si="352"/>
        <v>0</v>
      </c>
      <c r="U148" s="21">
        <f t="shared" si="353"/>
        <v>0</v>
      </c>
      <c r="V148" s="21">
        <f>VLOOKUP($L148,EQP!$A$2:$S$10,5,0)</f>
        <v>260</v>
      </c>
      <c r="W148" s="21">
        <f>VLOOKUP($L148,EQP!$A$2:$S$10,6,0)</f>
        <v>360</v>
      </c>
      <c r="X148" s="21">
        <f>VLOOKUP($L148,EQP!$A$2:$S$10,7,0)</f>
        <v>155</v>
      </c>
      <c r="Y148" s="21">
        <f t="shared" si="326"/>
        <v>1</v>
      </c>
      <c r="Z148" s="21">
        <f t="shared" si="327"/>
        <v>6</v>
      </c>
      <c r="AA148" s="21">
        <f t="shared" si="328"/>
        <v>0</v>
      </c>
      <c r="AB148" s="21">
        <f t="shared" si="354"/>
        <v>6</v>
      </c>
      <c r="AC148" s="21">
        <f t="shared" si="355"/>
        <v>0</v>
      </c>
      <c r="AD148" s="21">
        <f t="shared" si="356"/>
        <v>0</v>
      </c>
      <c r="AE148" s="21">
        <f>VLOOKUP($L148,EQP!$A$2:$S$10,8,0)</f>
        <v>155</v>
      </c>
      <c r="AF148" s="21">
        <f>VLOOKUP($L148,EQP!$A$2:$S$10,9,0)</f>
        <v>360</v>
      </c>
      <c r="AG148" s="21">
        <f>VLOOKUP($L148,EQP!$A$2:$S$10,10,0)</f>
        <v>260</v>
      </c>
      <c r="AH148" s="21">
        <f t="shared" si="329"/>
        <v>1</v>
      </c>
      <c r="AI148" s="21">
        <f t="shared" si="330"/>
        <v>6</v>
      </c>
      <c r="AJ148" s="21">
        <f t="shared" si="331"/>
        <v>0</v>
      </c>
      <c r="AK148" s="21">
        <f t="shared" si="357"/>
        <v>6</v>
      </c>
      <c r="AL148" s="21">
        <f t="shared" si="358"/>
        <v>0</v>
      </c>
      <c r="AM148" s="21">
        <f t="shared" si="359"/>
        <v>0</v>
      </c>
      <c r="AN148" s="21">
        <f>VLOOKUP($L148,EQP!$A$2:$S$10,11,0)</f>
        <v>155</v>
      </c>
      <c r="AO148" s="21">
        <f>VLOOKUP($L148,EQP!$A$2:$S$10,12,0)</f>
        <v>260</v>
      </c>
      <c r="AP148" s="21">
        <f>VLOOKUP($L148,EQP!$A$2:$S$10,13,0)</f>
        <v>360</v>
      </c>
      <c r="AQ148" s="21">
        <f t="shared" si="332"/>
        <v>1</v>
      </c>
      <c r="AR148" s="21">
        <f t="shared" si="333"/>
        <v>4</v>
      </c>
      <c r="AS148" s="21">
        <f t="shared" si="334"/>
        <v>0</v>
      </c>
      <c r="AT148" s="21">
        <f t="shared" si="360"/>
        <v>4</v>
      </c>
      <c r="AU148" s="21">
        <f t="shared" si="361"/>
        <v>0</v>
      </c>
      <c r="AV148" s="21">
        <f t="shared" si="362"/>
        <v>0</v>
      </c>
      <c r="AW148" s="21">
        <f>VLOOKUP($L148,EQP!$A$2:$S$10,14,0)</f>
        <v>260</v>
      </c>
      <c r="AX148" s="21">
        <f>VLOOKUP($L148,EQP!$A$2:$S$10,15,0)</f>
        <v>155</v>
      </c>
      <c r="AY148" s="21">
        <f>VLOOKUP($L148,EQP!$A$2:$S$10,16,0)</f>
        <v>360</v>
      </c>
      <c r="AZ148" s="21">
        <f t="shared" si="335"/>
        <v>1</v>
      </c>
      <c r="BA148" s="21">
        <f t="shared" si="336"/>
        <v>2</v>
      </c>
      <c r="BB148" s="21">
        <f t="shared" si="337"/>
        <v>0</v>
      </c>
      <c r="BC148" s="21">
        <f t="shared" si="363"/>
        <v>2</v>
      </c>
      <c r="BD148" s="21">
        <f t="shared" si="364"/>
        <v>0</v>
      </c>
      <c r="BE148" s="21">
        <f t="shared" si="365"/>
        <v>0</v>
      </c>
      <c r="BF148" s="21">
        <f>VLOOKUP($L148,EQP!$A$2:$S$10,17,0)</f>
        <v>360</v>
      </c>
      <c r="BG148" s="21">
        <f>VLOOKUP($L148,EQP!$A$2:$S$10,18,0)</f>
        <v>155</v>
      </c>
      <c r="BH148" s="21">
        <f>VLOOKUP($L148,EQP!$A$2:$S$10,19,0)</f>
        <v>260</v>
      </c>
      <c r="BI148" s="21">
        <f t="shared" si="338"/>
        <v>2</v>
      </c>
      <c r="BJ148" s="21">
        <f t="shared" si="339"/>
        <v>2</v>
      </c>
      <c r="BK148" s="21">
        <f t="shared" si="340"/>
        <v>0</v>
      </c>
      <c r="BL148" s="21">
        <f t="shared" si="366"/>
        <v>4</v>
      </c>
      <c r="BM148" s="21">
        <f t="shared" si="367"/>
        <v>0</v>
      </c>
      <c r="BN148" s="21">
        <f t="shared" si="368"/>
        <v>0</v>
      </c>
    </row>
    <row r="149" spans="1:66" x14ac:dyDescent="0.3">
      <c r="A149" s="5" t="str">
        <f t="shared" si="322"/>
        <v>1</v>
      </c>
      <c r="B149" s="6">
        <f t="shared" si="341"/>
        <v>9</v>
      </c>
      <c r="C149" s="7">
        <f t="shared" si="342"/>
        <v>14007842</v>
      </c>
      <c r="D149" s="7" t="str">
        <f t="shared" si="343"/>
        <v>DRIVER SIDE KNEE COVER RHD ASSY</v>
      </c>
      <c r="E149" s="6">
        <f t="shared" si="344"/>
        <v>170</v>
      </c>
      <c r="F149" s="6">
        <f t="shared" si="345"/>
        <v>70</v>
      </c>
      <c r="G149" s="6">
        <f t="shared" si="346"/>
        <v>265</v>
      </c>
      <c r="H149" s="6">
        <f t="shared" si="347"/>
        <v>80</v>
      </c>
      <c r="I149" s="6">
        <f t="shared" si="348"/>
        <v>1</v>
      </c>
      <c r="J149" s="6">
        <f t="shared" si="349"/>
        <v>80</v>
      </c>
      <c r="K149" s="6">
        <f t="shared" si="350"/>
        <v>40</v>
      </c>
      <c r="L149" s="5" t="str">
        <f t="shared" si="369"/>
        <v>Crate (400 x 300 x 170) mm</v>
      </c>
      <c r="M149" s="21">
        <f>VLOOKUP($L149,EQP!$A$2:$S$10,2,0)</f>
        <v>360</v>
      </c>
      <c r="N149" s="21">
        <f>VLOOKUP($L149,EQP!$A$2:$S$10,3,0)</f>
        <v>260</v>
      </c>
      <c r="O149" s="21">
        <f>VLOOKUP($L149,EQP!$A$2:$S$10,4,0)</f>
        <v>155</v>
      </c>
      <c r="P149" s="21">
        <f t="shared" si="323"/>
        <v>2</v>
      </c>
      <c r="Q149" s="21">
        <f t="shared" si="324"/>
        <v>3</v>
      </c>
      <c r="R149" s="21">
        <f t="shared" si="325"/>
        <v>0</v>
      </c>
      <c r="S149" s="21">
        <f t="shared" si="351"/>
        <v>6</v>
      </c>
      <c r="T149" s="21">
        <f t="shared" si="352"/>
        <v>0</v>
      </c>
      <c r="U149" s="21">
        <f t="shared" si="353"/>
        <v>0</v>
      </c>
      <c r="V149" s="21">
        <f>VLOOKUP($L149,EQP!$A$2:$S$10,5,0)</f>
        <v>260</v>
      </c>
      <c r="W149" s="21">
        <f>VLOOKUP($L149,EQP!$A$2:$S$10,6,0)</f>
        <v>360</v>
      </c>
      <c r="X149" s="21">
        <f>VLOOKUP($L149,EQP!$A$2:$S$10,7,0)</f>
        <v>155</v>
      </c>
      <c r="Y149" s="21">
        <f t="shared" si="326"/>
        <v>1</v>
      </c>
      <c r="Z149" s="21">
        <f t="shared" si="327"/>
        <v>4</v>
      </c>
      <c r="AA149" s="21">
        <f t="shared" si="328"/>
        <v>0</v>
      </c>
      <c r="AB149" s="21">
        <f t="shared" si="354"/>
        <v>4</v>
      </c>
      <c r="AC149" s="21">
        <f t="shared" si="355"/>
        <v>0</v>
      </c>
      <c r="AD149" s="21">
        <f t="shared" si="356"/>
        <v>0</v>
      </c>
      <c r="AE149" s="21">
        <f>VLOOKUP($L149,EQP!$A$2:$S$10,8,0)</f>
        <v>155</v>
      </c>
      <c r="AF149" s="21">
        <f>VLOOKUP($L149,EQP!$A$2:$S$10,9,0)</f>
        <v>360</v>
      </c>
      <c r="AG149" s="21">
        <f>VLOOKUP($L149,EQP!$A$2:$S$10,10,0)</f>
        <v>260</v>
      </c>
      <c r="AH149" s="21">
        <f t="shared" si="329"/>
        <v>0</v>
      </c>
      <c r="AI149" s="21">
        <f t="shared" si="330"/>
        <v>4</v>
      </c>
      <c r="AJ149" s="21">
        <f t="shared" si="331"/>
        <v>0</v>
      </c>
      <c r="AK149" s="21">
        <f t="shared" si="357"/>
        <v>0</v>
      </c>
      <c r="AL149" s="21">
        <f t="shared" si="358"/>
        <v>0</v>
      </c>
      <c r="AM149" s="21">
        <f t="shared" si="359"/>
        <v>0</v>
      </c>
      <c r="AN149" s="21">
        <f>VLOOKUP($L149,EQP!$A$2:$S$10,11,0)</f>
        <v>155</v>
      </c>
      <c r="AO149" s="21">
        <f>VLOOKUP($L149,EQP!$A$2:$S$10,12,0)</f>
        <v>260</v>
      </c>
      <c r="AP149" s="21">
        <f>VLOOKUP($L149,EQP!$A$2:$S$10,13,0)</f>
        <v>360</v>
      </c>
      <c r="AQ149" s="21">
        <f t="shared" si="332"/>
        <v>0</v>
      </c>
      <c r="AR149" s="21">
        <f t="shared" si="333"/>
        <v>3</v>
      </c>
      <c r="AS149" s="21">
        <f t="shared" si="334"/>
        <v>1</v>
      </c>
      <c r="AT149" s="21">
        <f t="shared" si="360"/>
        <v>0</v>
      </c>
      <c r="AU149" s="21">
        <f t="shared" si="361"/>
        <v>1</v>
      </c>
      <c r="AV149" s="21">
        <f t="shared" si="362"/>
        <v>0</v>
      </c>
      <c r="AW149" s="21">
        <f>VLOOKUP($L149,EQP!$A$2:$S$10,14,0)</f>
        <v>260</v>
      </c>
      <c r="AX149" s="21">
        <f>VLOOKUP($L149,EQP!$A$2:$S$10,15,0)</f>
        <v>155</v>
      </c>
      <c r="AY149" s="21">
        <f>VLOOKUP($L149,EQP!$A$2:$S$10,16,0)</f>
        <v>360</v>
      </c>
      <c r="AZ149" s="21">
        <f t="shared" si="335"/>
        <v>1</v>
      </c>
      <c r="BA149" s="21">
        <f t="shared" si="336"/>
        <v>2</v>
      </c>
      <c r="BB149" s="21">
        <f t="shared" si="337"/>
        <v>1</v>
      </c>
      <c r="BC149" s="21">
        <f t="shared" si="363"/>
        <v>2</v>
      </c>
      <c r="BD149" s="21">
        <f t="shared" si="364"/>
        <v>1</v>
      </c>
      <c r="BE149" s="21">
        <f t="shared" si="365"/>
        <v>2</v>
      </c>
      <c r="BF149" s="21">
        <f>VLOOKUP($L149,EQP!$A$2:$S$10,17,0)</f>
        <v>360</v>
      </c>
      <c r="BG149" s="21">
        <f>VLOOKUP($L149,EQP!$A$2:$S$10,18,0)</f>
        <v>155</v>
      </c>
      <c r="BH149" s="21">
        <f>VLOOKUP($L149,EQP!$A$2:$S$10,19,0)</f>
        <v>260</v>
      </c>
      <c r="BI149" s="21">
        <f t="shared" si="338"/>
        <v>2</v>
      </c>
      <c r="BJ149" s="21">
        <f t="shared" si="339"/>
        <v>2</v>
      </c>
      <c r="BK149" s="21">
        <f t="shared" si="340"/>
        <v>0</v>
      </c>
      <c r="BL149" s="21">
        <f t="shared" si="366"/>
        <v>4</v>
      </c>
      <c r="BM149" s="21">
        <f t="shared" si="367"/>
        <v>0</v>
      </c>
      <c r="BN149" s="21">
        <f t="shared" si="368"/>
        <v>0</v>
      </c>
    </row>
    <row r="150" spans="1:66" x14ac:dyDescent="0.3">
      <c r="A150" s="5" t="str">
        <f t="shared" si="322"/>
        <v>1</v>
      </c>
      <c r="B150" s="6">
        <f t="shared" si="341"/>
        <v>10</v>
      </c>
      <c r="C150" s="7">
        <f t="shared" si="342"/>
        <v>14007843</v>
      </c>
      <c r="D150" s="7" t="str">
        <f t="shared" si="343"/>
        <v>DIN_BIN</v>
      </c>
      <c r="E150" s="6">
        <f t="shared" si="344"/>
        <v>225</v>
      </c>
      <c r="F150" s="6">
        <f t="shared" si="345"/>
        <v>70</v>
      </c>
      <c r="G150" s="6">
        <f t="shared" si="346"/>
        <v>310</v>
      </c>
      <c r="H150" s="6">
        <f t="shared" si="347"/>
        <v>192</v>
      </c>
      <c r="I150" s="6">
        <f t="shared" si="348"/>
        <v>3</v>
      </c>
      <c r="J150" s="6">
        <f t="shared" si="349"/>
        <v>576</v>
      </c>
      <c r="K150" s="6">
        <f t="shared" si="350"/>
        <v>6</v>
      </c>
      <c r="L150" s="5" t="str">
        <f t="shared" si="369"/>
        <v>Crate (400 x 300 x 170) mm</v>
      </c>
      <c r="M150" s="21">
        <f>VLOOKUP($L150,EQP!$A$2:$S$10,2,0)</f>
        <v>360</v>
      </c>
      <c r="N150" s="21">
        <f>VLOOKUP($L150,EQP!$A$2:$S$10,3,0)</f>
        <v>260</v>
      </c>
      <c r="O150" s="21">
        <f>VLOOKUP($L150,EQP!$A$2:$S$10,4,0)</f>
        <v>155</v>
      </c>
      <c r="P150" s="21">
        <f t="shared" si="323"/>
        <v>1</v>
      </c>
      <c r="Q150" s="21">
        <f t="shared" si="324"/>
        <v>3</v>
      </c>
      <c r="R150" s="21">
        <f t="shared" si="325"/>
        <v>0</v>
      </c>
      <c r="S150" s="21">
        <f t="shared" si="351"/>
        <v>3</v>
      </c>
      <c r="T150" s="21">
        <f t="shared" si="352"/>
        <v>0</v>
      </c>
      <c r="U150" s="21">
        <f t="shared" si="353"/>
        <v>0</v>
      </c>
      <c r="V150" s="21">
        <f>VLOOKUP($L150,EQP!$A$2:$S$10,5,0)</f>
        <v>260</v>
      </c>
      <c r="W150" s="21">
        <f>VLOOKUP($L150,EQP!$A$2:$S$10,6,0)</f>
        <v>360</v>
      </c>
      <c r="X150" s="21">
        <f>VLOOKUP($L150,EQP!$A$2:$S$10,7,0)</f>
        <v>155</v>
      </c>
      <c r="Y150" s="21">
        <f t="shared" si="326"/>
        <v>1</v>
      </c>
      <c r="Z150" s="21">
        <f t="shared" si="327"/>
        <v>4</v>
      </c>
      <c r="AA150" s="21">
        <f t="shared" si="328"/>
        <v>0</v>
      </c>
      <c r="AB150" s="21">
        <f t="shared" si="354"/>
        <v>4</v>
      </c>
      <c r="AC150" s="21">
        <f t="shared" si="355"/>
        <v>0</v>
      </c>
      <c r="AD150" s="21">
        <f t="shared" si="356"/>
        <v>0</v>
      </c>
      <c r="AE150" s="21">
        <f>VLOOKUP($L150,EQP!$A$2:$S$10,8,0)</f>
        <v>155</v>
      </c>
      <c r="AF150" s="21">
        <f>VLOOKUP($L150,EQP!$A$2:$S$10,9,0)</f>
        <v>360</v>
      </c>
      <c r="AG150" s="21">
        <f>VLOOKUP($L150,EQP!$A$2:$S$10,10,0)</f>
        <v>260</v>
      </c>
      <c r="AH150" s="21">
        <f t="shared" si="329"/>
        <v>0</v>
      </c>
      <c r="AI150" s="21">
        <f t="shared" si="330"/>
        <v>4</v>
      </c>
      <c r="AJ150" s="21">
        <f t="shared" si="331"/>
        <v>0</v>
      </c>
      <c r="AK150" s="21">
        <f t="shared" si="357"/>
        <v>0</v>
      </c>
      <c r="AL150" s="21">
        <f t="shared" si="358"/>
        <v>0</v>
      </c>
      <c r="AM150" s="21">
        <f t="shared" si="359"/>
        <v>0</v>
      </c>
      <c r="AN150" s="21">
        <f>VLOOKUP($L150,EQP!$A$2:$S$10,11,0)</f>
        <v>155</v>
      </c>
      <c r="AO150" s="21">
        <f>VLOOKUP($L150,EQP!$A$2:$S$10,12,0)</f>
        <v>260</v>
      </c>
      <c r="AP150" s="21">
        <f>VLOOKUP($L150,EQP!$A$2:$S$10,13,0)</f>
        <v>360</v>
      </c>
      <c r="AQ150" s="21">
        <f t="shared" si="332"/>
        <v>0</v>
      </c>
      <c r="AR150" s="21">
        <f t="shared" si="333"/>
        <v>3</v>
      </c>
      <c r="AS150" s="21">
        <f t="shared" si="334"/>
        <v>1</v>
      </c>
      <c r="AT150" s="21">
        <f t="shared" si="360"/>
        <v>0</v>
      </c>
      <c r="AU150" s="21">
        <f t="shared" si="361"/>
        <v>1</v>
      </c>
      <c r="AV150" s="21">
        <f t="shared" si="362"/>
        <v>0</v>
      </c>
      <c r="AW150" s="21">
        <f>VLOOKUP($L150,EQP!$A$2:$S$10,14,0)</f>
        <v>260</v>
      </c>
      <c r="AX150" s="21">
        <f>VLOOKUP($L150,EQP!$A$2:$S$10,15,0)</f>
        <v>155</v>
      </c>
      <c r="AY150" s="21">
        <f>VLOOKUP($L150,EQP!$A$2:$S$10,16,0)</f>
        <v>360</v>
      </c>
      <c r="AZ150" s="21">
        <f t="shared" si="335"/>
        <v>1</v>
      </c>
      <c r="BA150" s="21">
        <f t="shared" si="336"/>
        <v>2</v>
      </c>
      <c r="BB150" s="21">
        <f t="shared" si="337"/>
        <v>1</v>
      </c>
      <c r="BC150" s="21">
        <f t="shared" si="363"/>
        <v>2</v>
      </c>
      <c r="BD150" s="21">
        <f t="shared" si="364"/>
        <v>1</v>
      </c>
      <c r="BE150" s="21">
        <f t="shared" si="365"/>
        <v>2</v>
      </c>
      <c r="BF150" s="21">
        <f>VLOOKUP($L150,EQP!$A$2:$S$10,17,0)</f>
        <v>360</v>
      </c>
      <c r="BG150" s="21">
        <f>VLOOKUP($L150,EQP!$A$2:$S$10,18,0)</f>
        <v>155</v>
      </c>
      <c r="BH150" s="21">
        <f>VLOOKUP($L150,EQP!$A$2:$S$10,19,0)</f>
        <v>260</v>
      </c>
      <c r="BI150" s="21">
        <f t="shared" si="338"/>
        <v>1</v>
      </c>
      <c r="BJ150" s="21">
        <f t="shared" si="339"/>
        <v>2</v>
      </c>
      <c r="BK150" s="21">
        <f t="shared" si="340"/>
        <v>0</v>
      </c>
      <c r="BL150" s="21">
        <f t="shared" si="366"/>
        <v>2</v>
      </c>
      <c r="BM150" s="21">
        <f t="shared" si="367"/>
        <v>0</v>
      </c>
      <c r="BN150" s="21">
        <f t="shared" si="368"/>
        <v>0</v>
      </c>
    </row>
    <row r="151" spans="1:66" x14ac:dyDescent="0.3">
      <c r="A151" s="5" t="str">
        <f t="shared" si="322"/>
        <v/>
      </c>
    </row>
    <row r="152" spans="1:66" x14ac:dyDescent="0.3">
      <c r="A152" s="5" t="str">
        <f t="shared" si="322"/>
        <v/>
      </c>
    </row>
    <row r="153" spans="1:66" x14ac:dyDescent="0.3">
      <c r="A153" s="5" t="str">
        <f t="shared" si="322"/>
        <v/>
      </c>
    </row>
    <row r="154" spans="1:66" x14ac:dyDescent="0.3">
      <c r="A154" s="5" t="str">
        <f t="shared" si="322"/>
        <v/>
      </c>
    </row>
    <row r="155" spans="1:66" x14ac:dyDescent="0.3">
      <c r="A155" s="5" t="str">
        <f t="shared" si="322"/>
        <v/>
      </c>
    </row>
    <row r="156" spans="1:66" x14ac:dyDescent="0.3">
      <c r="A156" s="5" t="str">
        <f t="shared" si="322"/>
        <v/>
      </c>
    </row>
    <row r="157" spans="1:66" x14ac:dyDescent="0.3">
      <c r="A157" s="5" t="str">
        <f t="shared" si="322"/>
        <v/>
      </c>
    </row>
    <row r="158" spans="1:66" x14ac:dyDescent="0.3">
      <c r="A158" s="5" t="str">
        <f t="shared" si="322"/>
        <v/>
      </c>
    </row>
    <row r="159" spans="1:66" x14ac:dyDescent="0.3">
      <c r="A159" s="5" t="str">
        <f t="shared" si="322"/>
        <v/>
      </c>
    </row>
    <row r="160" spans="1:66" x14ac:dyDescent="0.3">
      <c r="A160" s="5" t="str">
        <f t="shared" si="322"/>
        <v/>
      </c>
    </row>
    <row r="161" spans="1:66" x14ac:dyDescent="0.3">
      <c r="A161" s="5" t="str">
        <f t="shared" si="322"/>
        <v>1</v>
      </c>
      <c r="B161" s="6">
        <f>$B141</f>
        <v>1</v>
      </c>
      <c r="C161" s="7">
        <f>$C141</f>
        <v>14007834</v>
      </c>
      <c r="D161" s="7" t="str">
        <f>$D141</f>
        <v>2.0_M_CENTER BEZEL PREMIUM ASSY</v>
      </c>
      <c r="E161" s="6">
        <f>$E141</f>
        <v>274</v>
      </c>
      <c r="F161" s="6">
        <f>$F141</f>
        <v>76</v>
      </c>
      <c r="G161" s="6">
        <f>$G141</f>
        <v>620</v>
      </c>
      <c r="H161" s="6">
        <f>$H141</f>
        <v>44</v>
      </c>
      <c r="I161" s="6">
        <f>$I141</f>
        <v>1</v>
      </c>
      <c r="J161" s="6">
        <f>$J141</f>
        <v>44</v>
      </c>
      <c r="K161" s="6">
        <f>$K141</f>
        <v>80</v>
      </c>
      <c r="L161" s="5" t="str">
        <f>EQP!A10</f>
        <v>Crate (400 x 300 x 220) mm</v>
      </c>
      <c r="M161" s="21">
        <f>VLOOKUP($L161,EQP!$A$2:$S$10,2,0)</f>
        <v>360</v>
      </c>
      <c r="N161" s="21">
        <f>VLOOKUP($L161,EQP!$A$2:$S$10,3,0)</f>
        <v>260</v>
      </c>
      <c r="O161" s="21">
        <f>VLOOKUP($L161,EQP!$A$2:$S$10,4,0)</f>
        <v>205</v>
      </c>
      <c r="P161" s="21">
        <f t="shared" ref="P161:P170" si="370">ROUNDDOWN($M161/($E161+5),0)</f>
        <v>1</v>
      </c>
      <c r="Q161" s="21">
        <f t="shared" ref="Q161:Q170" si="371">ROUNDDOWN($N161/($F161+5),0)</f>
        <v>3</v>
      </c>
      <c r="R161" s="21">
        <f t="shared" ref="R161:R170" si="372">ROUNDDOWN($O161/($G161+5),0)</f>
        <v>0</v>
      </c>
      <c r="S161" s="21">
        <f>$P161*$Q161</f>
        <v>3</v>
      </c>
      <c r="T161" s="21">
        <f>R161</f>
        <v>0</v>
      </c>
      <c r="U161" s="21">
        <f>S161*T161</f>
        <v>0</v>
      </c>
      <c r="V161" s="21">
        <f>VLOOKUP($L161,EQP!$A$2:$S$10,5,0)</f>
        <v>260</v>
      </c>
      <c r="W161" s="21">
        <f>VLOOKUP($L161,EQP!$A$2:$S$10,6,0)</f>
        <v>360</v>
      </c>
      <c r="X161" s="21">
        <f>VLOOKUP($L161,EQP!$A$2:$S$10,7,0)</f>
        <v>205</v>
      </c>
      <c r="Y161" s="21">
        <f t="shared" ref="Y161:Y170" si="373">ROUNDDOWN($N161/($E161+5),0)</f>
        <v>0</v>
      </c>
      <c r="Z161" s="21">
        <f t="shared" ref="Z161:Z170" si="374">ROUNDDOWN($W161/($F161+5),0)</f>
        <v>4</v>
      </c>
      <c r="AA161" s="21">
        <f t="shared" ref="AA161:AA170" si="375">ROUNDDOWN($X161/($G161+5),0)</f>
        <v>0</v>
      </c>
      <c r="AB161" s="21">
        <f>Y161*Z161</f>
        <v>0</v>
      </c>
      <c r="AC161" s="21">
        <f>AA161</f>
        <v>0</v>
      </c>
      <c r="AD161" s="21">
        <f>AB161*AC161</f>
        <v>0</v>
      </c>
      <c r="AE161" s="21">
        <f>VLOOKUP($L161,EQP!$A$2:$S$10,8,0)</f>
        <v>205</v>
      </c>
      <c r="AF161" s="21">
        <f>VLOOKUP($L161,EQP!$A$2:$S$10,9,0)</f>
        <v>360</v>
      </c>
      <c r="AG161" s="21">
        <f>VLOOKUP($L161,EQP!$A$2:$S$10,10,0)</f>
        <v>260</v>
      </c>
      <c r="AH161" s="21">
        <f t="shared" ref="AH161:AH170" si="376">ROUNDDOWN($AE161/($E161+5),0)</f>
        <v>0</v>
      </c>
      <c r="AI161" s="21">
        <f t="shared" ref="AI161:AI170" si="377">ROUNDDOWN($AF161/($F161+5),0)</f>
        <v>4</v>
      </c>
      <c r="AJ161" s="21">
        <f t="shared" ref="AJ161:AJ170" si="378">ROUNDDOWN($AG161/($G161+5),0)</f>
        <v>0</v>
      </c>
      <c r="AK161" s="21">
        <f>AH161*AI161</f>
        <v>0</v>
      </c>
      <c r="AL161" s="21">
        <f>AJ161</f>
        <v>0</v>
      </c>
      <c r="AM161" s="21">
        <f>AK161*AL161</f>
        <v>0</v>
      </c>
      <c r="AN161" s="21">
        <f>VLOOKUP($L161,EQP!$A$2:$S$10,11,0)</f>
        <v>205</v>
      </c>
      <c r="AO161" s="21">
        <f>VLOOKUP($L161,EQP!$A$2:$S$10,12,0)</f>
        <v>260</v>
      </c>
      <c r="AP161" s="21">
        <f>VLOOKUP($L161,EQP!$A$2:$S$10,13,0)</f>
        <v>360</v>
      </c>
      <c r="AQ161" s="21">
        <f t="shared" ref="AQ161:AQ170" si="379">ROUNDDOWN($AN161/($E161+5),0)</f>
        <v>0</v>
      </c>
      <c r="AR161" s="21">
        <f t="shared" ref="AR161:AR170" si="380">ROUNDDOWN($AO161/($F161+5),0)</f>
        <v>3</v>
      </c>
      <c r="AS161" s="21">
        <f t="shared" ref="AS161:AS170" si="381">ROUNDDOWN($AP161/($G161+5),0)</f>
        <v>0</v>
      </c>
      <c r="AT161" s="21">
        <f>AQ161*AR161</f>
        <v>0</v>
      </c>
      <c r="AU161" s="21">
        <f>AS161</f>
        <v>0</v>
      </c>
      <c r="AV161" s="21">
        <f>AT161*AU161</f>
        <v>0</v>
      </c>
      <c r="AW161" s="21">
        <f>VLOOKUP($L161,EQP!$A$2:$S$10,14,0)</f>
        <v>260</v>
      </c>
      <c r="AX161" s="21">
        <f>VLOOKUP($L161,EQP!$A$2:$S$10,15,0)</f>
        <v>205</v>
      </c>
      <c r="AY161" s="21">
        <f>VLOOKUP($L161,EQP!$A$2:$S$10,16,0)</f>
        <v>360</v>
      </c>
      <c r="AZ161" s="21">
        <f t="shared" ref="AZ161:AZ170" si="382">ROUNDDOWN($AW161/($E161+5),0)</f>
        <v>0</v>
      </c>
      <c r="BA161" s="21">
        <f t="shared" ref="BA161:BA170" si="383">ROUNDDOWN($AX161/($F161+5),0)</f>
        <v>2</v>
      </c>
      <c r="BB161" s="21">
        <f t="shared" ref="BB161:BB170" si="384">ROUNDDOWN($AY161/($G161+5),0)</f>
        <v>0</v>
      </c>
      <c r="BC161" s="21">
        <f>AZ161*BA161</f>
        <v>0</v>
      </c>
      <c r="BD161" s="21">
        <f>BB161</f>
        <v>0</v>
      </c>
      <c r="BE161" s="21">
        <f>BC161*BD161</f>
        <v>0</v>
      </c>
      <c r="BF161" s="21">
        <f>VLOOKUP($L161,EQP!$A$2:$S$10,17,0)</f>
        <v>360</v>
      </c>
      <c r="BG161" s="21">
        <f>VLOOKUP($L161,EQP!$A$2:$S$10,18,0)</f>
        <v>205</v>
      </c>
      <c r="BH161" s="21">
        <f>VLOOKUP($L161,EQP!$A$2:$S$10,19,0)</f>
        <v>260</v>
      </c>
      <c r="BI161" s="21">
        <f t="shared" ref="BI161:BI170" si="385">ROUNDDOWN($BF161/($E161+5),0)</f>
        <v>1</v>
      </c>
      <c r="BJ161" s="21">
        <f t="shared" ref="BJ161:BJ170" si="386">ROUNDDOWN($BG161/($F161+5),0)</f>
        <v>2</v>
      </c>
      <c r="BK161" s="21">
        <f t="shared" ref="BK161:BK170" si="387">ROUNDDOWN($BH161/($G161+5),0)</f>
        <v>0</v>
      </c>
      <c r="BL161" s="21">
        <f>BI161*BJ161</f>
        <v>2</v>
      </c>
      <c r="BM161" s="21">
        <f>BK161</f>
        <v>0</v>
      </c>
      <c r="BN161" s="21">
        <f>BL161*BM161</f>
        <v>0</v>
      </c>
    </row>
    <row r="162" spans="1:66" x14ac:dyDescent="0.3">
      <c r="A162" s="5" t="str">
        <f t="shared" si="322"/>
        <v>1</v>
      </c>
      <c r="B162" s="6">
        <f t="shared" ref="B162:B170" si="388">$B142</f>
        <v>2</v>
      </c>
      <c r="C162" s="7">
        <f t="shared" ref="C162:C170" si="389">$C142</f>
        <v>14007835</v>
      </c>
      <c r="D162" s="7" t="str">
        <f t="shared" ref="D162:D170" si="390">$D142</f>
        <v>SHROUD UPPER</v>
      </c>
      <c r="E162" s="6">
        <f t="shared" ref="E162:E170" si="391">$E142</f>
        <v>225</v>
      </c>
      <c r="F162" s="6">
        <f t="shared" ref="F162:F170" si="392">$F142</f>
        <v>125</v>
      </c>
      <c r="G162" s="6">
        <f t="shared" ref="G162:G170" si="393">$G142</f>
        <v>190</v>
      </c>
      <c r="H162" s="6">
        <f t="shared" ref="H162:H170" si="394">$H142</f>
        <v>96</v>
      </c>
      <c r="I162" s="6">
        <f t="shared" ref="I162:I170" si="395">$I142</f>
        <v>2</v>
      </c>
      <c r="J162" s="6">
        <f t="shared" ref="J162:J170" si="396">$J142</f>
        <v>192</v>
      </c>
      <c r="K162" s="6">
        <f t="shared" ref="K162:K170" si="397">$K142</f>
        <v>18</v>
      </c>
      <c r="L162" s="5" t="str">
        <f>L161</f>
        <v>Crate (400 x 300 x 220) mm</v>
      </c>
      <c r="M162" s="21">
        <f>VLOOKUP($L162,EQP!$A$2:$S$10,2,0)</f>
        <v>360</v>
      </c>
      <c r="N162" s="21">
        <f>VLOOKUP($L162,EQP!$A$2:$S$10,3,0)</f>
        <v>260</v>
      </c>
      <c r="O162" s="21">
        <f>VLOOKUP($L162,EQP!$A$2:$S$10,4,0)</f>
        <v>205</v>
      </c>
      <c r="P162" s="21">
        <f t="shared" si="370"/>
        <v>1</v>
      </c>
      <c r="Q162" s="21">
        <f t="shared" si="371"/>
        <v>2</v>
      </c>
      <c r="R162" s="21">
        <f t="shared" si="372"/>
        <v>1</v>
      </c>
      <c r="S162" s="21">
        <f t="shared" ref="S162:S170" si="398">$P162*$Q162</f>
        <v>2</v>
      </c>
      <c r="T162" s="21">
        <f t="shared" ref="T162:T170" si="399">R162</f>
        <v>1</v>
      </c>
      <c r="U162" s="21">
        <f t="shared" ref="U162:U170" si="400">S162*T162</f>
        <v>2</v>
      </c>
      <c r="V162" s="21">
        <f>VLOOKUP($L162,EQP!$A$2:$S$10,5,0)</f>
        <v>260</v>
      </c>
      <c r="W162" s="21">
        <f>VLOOKUP($L162,EQP!$A$2:$S$10,6,0)</f>
        <v>360</v>
      </c>
      <c r="X162" s="21">
        <f>VLOOKUP($L162,EQP!$A$2:$S$10,7,0)</f>
        <v>205</v>
      </c>
      <c r="Y162" s="21">
        <f t="shared" si="373"/>
        <v>1</v>
      </c>
      <c r="Z162" s="21">
        <f t="shared" si="374"/>
        <v>2</v>
      </c>
      <c r="AA162" s="21">
        <f t="shared" si="375"/>
        <v>1</v>
      </c>
      <c r="AB162" s="21">
        <f t="shared" ref="AB162:AB170" si="401">Y162*Z162</f>
        <v>2</v>
      </c>
      <c r="AC162" s="21">
        <f t="shared" ref="AC162:AC170" si="402">AA162</f>
        <v>1</v>
      </c>
      <c r="AD162" s="21">
        <f t="shared" ref="AD162:AD170" si="403">AB162*AC162</f>
        <v>2</v>
      </c>
      <c r="AE162" s="21">
        <f>VLOOKUP($L162,EQP!$A$2:$S$10,8,0)</f>
        <v>205</v>
      </c>
      <c r="AF162" s="21">
        <f>VLOOKUP($L162,EQP!$A$2:$S$10,9,0)</f>
        <v>360</v>
      </c>
      <c r="AG162" s="21">
        <f>VLOOKUP($L162,EQP!$A$2:$S$10,10,0)</f>
        <v>260</v>
      </c>
      <c r="AH162" s="21">
        <f t="shared" si="376"/>
        <v>0</v>
      </c>
      <c r="AI162" s="21">
        <f t="shared" si="377"/>
        <v>2</v>
      </c>
      <c r="AJ162" s="21">
        <f t="shared" si="378"/>
        <v>1</v>
      </c>
      <c r="AK162" s="21">
        <f t="shared" ref="AK162:AK170" si="404">AH162*AI162</f>
        <v>0</v>
      </c>
      <c r="AL162" s="21">
        <f t="shared" ref="AL162:AL170" si="405">AJ162</f>
        <v>1</v>
      </c>
      <c r="AM162" s="21">
        <f t="shared" ref="AM162:AM170" si="406">AK162*AL162</f>
        <v>0</v>
      </c>
      <c r="AN162" s="21">
        <f>VLOOKUP($L162,EQP!$A$2:$S$10,11,0)</f>
        <v>205</v>
      </c>
      <c r="AO162" s="21">
        <f>VLOOKUP($L162,EQP!$A$2:$S$10,12,0)</f>
        <v>260</v>
      </c>
      <c r="AP162" s="21">
        <f>VLOOKUP($L162,EQP!$A$2:$S$10,13,0)</f>
        <v>360</v>
      </c>
      <c r="AQ162" s="21">
        <f t="shared" si="379"/>
        <v>0</v>
      </c>
      <c r="AR162" s="21">
        <f t="shared" si="380"/>
        <v>2</v>
      </c>
      <c r="AS162" s="21">
        <f t="shared" si="381"/>
        <v>1</v>
      </c>
      <c r="AT162" s="21">
        <f t="shared" ref="AT162:AT170" si="407">AQ162*AR162</f>
        <v>0</v>
      </c>
      <c r="AU162" s="21">
        <f t="shared" ref="AU162:AU170" si="408">AS162</f>
        <v>1</v>
      </c>
      <c r="AV162" s="21">
        <f t="shared" ref="AV162:AV170" si="409">AT162*AU162</f>
        <v>0</v>
      </c>
      <c r="AW162" s="21">
        <f>VLOOKUP($L162,EQP!$A$2:$S$10,14,0)</f>
        <v>260</v>
      </c>
      <c r="AX162" s="21">
        <f>VLOOKUP($L162,EQP!$A$2:$S$10,15,0)</f>
        <v>205</v>
      </c>
      <c r="AY162" s="21">
        <f>VLOOKUP($L162,EQP!$A$2:$S$10,16,0)</f>
        <v>360</v>
      </c>
      <c r="AZ162" s="21">
        <f t="shared" si="382"/>
        <v>1</v>
      </c>
      <c r="BA162" s="21">
        <f t="shared" si="383"/>
        <v>1</v>
      </c>
      <c r="BB162" s="21">
        <f t="shared" si="384"/>
        <v>1</v>
      </c>
      <c r="BC162" s="21">
        <f t="shared" ref="BC162:BC170" si="410">AZ162*BA162</f>
        <v>1</v>
      </c>
      <c r="BD162" s="21">
        <f t="shared" ref="BD162:BD170" si="411">BB162</f>
        <v>1</v>
      </c>
      <c r="BE162" s="21">
        <f t="shared" ref="BE162:BE170" si="412">BC162*BD162</f>
        <v>1</v>
      </c>
      <c r="BF162" s="21">
        <f>VLOOKUP($L162,EQP!$A$2:$S$10,17,0)</f>
        <v>360</v>
      </c>
      <c r="BG162" s="21">
        <f>VLOOKUP($L162,EQP!$A$2:$S$10,18,0)</f>
        <v>205</v>
      </c>
      <c r="BH162" s="21">
        <f>VLOOKUP($L162,EQP!$A$2:$S$10,19,0)</f>
        <v>260</v>
      </c>
      <c r="BI162" s="21">
        <f t="shared" si="385"/>
        <v>1</v>
      </c>
      <c r="BJ162" s="21">
        <f t="shared" si="386"/>
        <v>1</v>
      </c>
      <c r="BK162" s="21">
        <f t="shared" si="387"/>
        <v>1</v>
      </c>
      <c r="BL162" s="21">
        <f t="shared" ref="BL162:BL170" si="413">BI162*BJ162</f>
        <v>1</v>
      </c>
      <c r="BM162" s="21">
        <f t="shared" ref="BM162:BM170" si="414">BK162</f>
        <v>1</v>
      </c>
      <c r="BN162" s="21">
        <f t="shared" ref="BN162:BN170" si="415">BL162*BM162</f>
        <v>1</v>
      </c>
    </row>
    <row r="163" spans="1:66" x14ac:dyDescent="0.3">
      <c r="A163" s="5" t="str">
        <f t="shared" si="322"/>
        <v>1</v>
      </c>
      <c r="B163" s="6">
        <f t="shared" si="388"/>
        <v>3</v>
      </c>
      <c r="C163" s="7">
        <f t="shared" si="389"/>
        <v>14007836</v>
      </c>
      <c r="D163" s="7" t="str">
        <f t="shared" si="390"/>
        <v>SHROUD LOWER</v>
      </c>
      <c r="E163" s="6">
        <f t="shared" si="391"/>
        <v>435</v>
      </c>
      <c r="F163" s="6">
        <f t="shared" si="392"/>
        <v>100</v>
      </c>
      <c r="G163" s="6">
        <f t="shared" si="393"/>
        <v>210</v>
      </c>
      <c r="H163" s="6">
        <f t="shared" si="394"/>
        <v>48</v>
      </c>
      <c r="I163" s="6">
        <f t="shared" si="395"/>
        <v>1</v>
      </c>
      <c r="J163" s="6">
        <f t="shared" si="396"/>
        <v>48</v>
      </c>
      <c r="K163" s="6">
        <f t="shared" si="397"/>
        <v>75</v>
      </c>
      <c r="L163" s="5" t="str">
        <f t="shared" ref="L163:L170" si="416">L162</f>
        <v>Crate (400 x 300 x 220) mm</v>
      </c>
      <c r="M163" s="21">
        <f>VLOOKUP($L163,EQP!$A$2:$S$10,2,0)</f>
        <v>360</v>
      </c>
      <c r="N163" s="21">
        <f>VLOOKUP($L163,EQP!$A$2:$S$10,3,0)</f>
        <v>260</v>
      </c>
      <c r="O163" s="21">
        <f>VLOOKUP($L163,EQP!$A$2:$S$10,4,0)</f>
        <v>205</v>
      </c>
      <c r="P163" s="21">
        <f t="shared" si="370"/>
        <v>0</v>
      </c>
      <c r="Q163" s="21">
        <f t="shared" si="371"/>
        <v>2</v>
      </c>
      <c r="R163" s="21">
        <f t="shared" si="372"/>
        <v>0</v>
      </c>
      <c r="S163" s="21">
        <f t="shared" si="398"/>
        <v>0</v>
      </c>
      <c r="T163" s="21">
        <f t="shared" si="399"/>
        <v>0</v>
      </c>
      <c r="U163" s="21">
        <f t="shared" si="400"/>
        <v>0</v>
      </c>
      <c r="V163" s="21">
        <f>VLOOKUP($L163,EQP!$A$2:$S$10,5,0)</f>
        <v>260</v>
      </c>
      <c r="W163" s="21">
        <f>VLOOKUP($L163,EQP!$A$2:$S$10,6,0)</f>
        <v>360</v>
      </c>
      <c r="X163" s="21">
        <f>VLOOKUP($L163,EQP!$A$2:$S$10,7,0)</f>
        <v>205</v>
      </c>
      <c r="Y163" s="21">
        <f t="shared" si="373"/>
        <v>0</v>
      </c>
      <c r="Z163" s="21">
        <f t="shared" si="374"/>
        <v>3</v>
      </c>
      <c r="AA163" s="21">
        <f t="shared" si="375"/>
        <v>0</v>
      </c>
      <c r="AB163" s="21">
        <f t="shared" si="401"/>
        <v>0</v>
      </c>
      <c r="AC163" s="21">
        <f t="shared" si="402"/>
        <v>0</v>
      </c>
      <c r="AD163" s="21">
        <f t="shared" si="403"/>
        <v>0</v>
      </c>
      <c r="AE163" s="21">
        <f>VLOOKUP($L163,EQP!$A$2:$S$10,8,0)</f>
        <v>205</v>
      </c>
      <c r="AF163" s="21">
        <f>VLOOKUP($L163,EQP!$A$2:$S$10,9,0)</f>
        <v>360</v>
      </c>
      <c r="AG163" s="21">
        <f>VLOOKUP($L163,EQP!$A$2:$S$10,10,0)</f>
        <v>260</v>
      </c>
      <c r="AH163" s="21">
        <f t="shared" si="376"/>
        <v>0</v>
      </c>
      <c r="AI163" s="21">
        <f t="shared" si="377"/>
        <v>3</v>
      </c>
      <c r="AJ163" s="21">
        <f t="shared" si="378"/>
        <v>1</v>
      </c>
      <c r="AK163" s="21">
        <f t="shared" si="404"/>
        <v>0</v>
      </c>
      <c r="AL163" s="21">
        <f t="shared" si="405"/>
        <v>1</v>
      </c>
      <c r="AM163" s="21">
        <f t="shared" si="406"/>
        <v>0</v>
      </c>
      <c r="AN163" s="21">
        <f>VLOOKUP($L163,EQP!$A$2:$S$10,11,0)</f>
        <v>205</v>
      </c>
      <c r="AO163" s="21">
        <f>VLOOKUP($L163,EQP!$A$2:$S$10,12,0)</f>
        <v>260</v>
      </c>
      <c r="AP163" s="21">
        <f>VLOOKUP($L163,EQP!$A$2:$S$10,13,0)</f>
        <v>360</v>
      </c>
      <c r="AQ163" s="21">
        <f t="shared" si="379"/>
        <v>0</v>
      </c>
      <c r="AR163" s="21">
        <f t="shared" si="380"/>
        <v>2</v>
      </c>
      <c r="AS163" s="21">
        <f t="shared" si="381"/>
        <v>1</v>
      </c>
      <c r="AT163" s="21">
        <f t="shared" si="407"/>
        <v>0</v>
      </c>
      <c r="AU163" s="21">
        <f t="shared" si="408"/>
        <v>1</v>
      </c>
      <c r="AV163" s="21">
        <f t="shared" si="409"/>
        <v>0</v>
      </c>
      <c r="AW163" s="21">
        <f>VLOOKUP($L163,EQP!$A$2:$S$10,14,0)</f>
        <v>260</v>
      </c>
      <c r="AX163" s="21">
        <f>VLOOKUP($L163,EQP!$A$2:$S$10,15,0)</f>
        <v>205</v>
      </c>
      <c r="AY163" s="21">
        <f>VLOOKUP($L163,EQP!$A$2:$S$10,16,0)</f>
        <v>360</v>
      </c>
      <c r="AZ163" s="21">
        <f t="shared" si="382"/>
        <v>0</v>
      </c>
      <c r="BA163" s="21">
        <f t="shared" si="383"/>
        <v>1</v>
      </c>
      <c r="BB163" s="21">
        <f t="shared" si="384"/>
        <v>1</v>
      </c>
      <c r="BC163" s="21">
        <f t="shared" si="410"/>
        <v>0</v>
      </c>
      <c r="BD163" s="21">
        <f t="shared" si="411"/>
        <v>1</v>
      </c>
      <c r="BE163" s="21">
        <f t="shared" si="412"/>
        <v>0</v>
      </c>
      <c r="BF163" s="21">
        <f>VLOOKUP($L163,EQP!$A$2:$S$10,17,0)</f>
        <v>360</v>
      </c>
      <c r="BG163" s="21">
        <f>VLOOKUP($L163,EQP!$A$2:$S$10,18,0)</f>
        <v>205</v>
      </c>
      <c r="BH163" s="21">
        <f>VLOOKUP($L163,EQP!$A$2:$S$10,19,0)</f>
        <v>260</v>
      </c>
      <c r="BI163" s="21">
        <f t="shared" si="385"/>
        <v>0</v>
      </c>
      <c r="BJ163" s="21">
        <f t="shared" si="386"/>
        <v>1</v>
      </c>
      <c r="BK163" s="21">
        <f t="shared" si="387"/>
        <v>1</v>
      </c>
      <c r="BL163" s="21">
        <f t="shared" si="413"/>
        <v>0</v>
      </c>
      <c r="BM163" s="21">
        <f t="shared" si="414"/>
        <v>1</v>
      </c>
      <c r="BN163" s="21">
        <f t="shared" si="415"/>
        <v>0</v>
      </c>
    </row>
    <row r="164" spans="1:66" x14ac:dyDescent="0.3">
      <c r="A164" s="5" t="str">
        <f t="shared" si="322"/>
        <v>1</v>
      </c>
      <c r="B164" s="6">
        <f t="shared" si="388"/>
        <v>4</v>
      </c>
      <c r="C164" s="7">
        <f t="shared" si="389"/>
        <v>14007837</v>
      </c>
      <c r="D164" s="7" t="str">
        <f t="shared" si="390"/>
        <v>CLUSTER BEZEL LOWER ASSY</v>
      </c>
      <c r="E164" s="6">
        <f t="shared" si="391"/>
        <v>365</v>
      </c>
      <c r="F164" s="6">
        <f t="shared" si="392"/>
        <v>63</v>
      </c>
      <c r="G164" s="6">
        <f t="shared" si="393"/>
        <v>225</v>
      </c>
      <c r="H164" s="6">
        <f t="shared" si="394"/>
        <v>96</v>
      </c>
      <c r="I164" s="6">
        <f t="shared" si="395"/>
        <v>1</v>
      </c>
      <c r="J164" s="6">
        <f t="shared" si="396"/>
        <v>96</v>
      </c>
      <c r="K164" s="6">
        <f t="shared" si="397"/>
        <v>38</v>
      </c>
      <c r="L164" s="5" t="str">
        <f t="shared" si="416"/>
        <v>Crate (400 x 300 x 220) mm</v>
      </c>
      <c r="M164" s="21">
        <f>VLOOKUP($L164,EQP!$A$2:$S$10,2,0)</f>
        <v>360</v>
      </c>
      <c r="N164" s="21">
        <f>VLOOKUP($L164,EQP!$A$2:$S$10,3,0)</f>
        <v>260</v>
      </c>
      <c r="O164" s="21">
        <f>VLOOKUP($L164,EQP!$A$2:$S$10,4,0)</f>
        <v>205</v>
      </c>
      <c r="P164" s="21">
        <f t="shared" si="370"/>
        <v>0</v>
      </c>
      <c r="Q164" s="21">
        <f t="shared" si="371"/>
        <v>3</v>
      </c>
      <c r="R164" s="21">
        <f t="shared" si="372"/>
        <v>0</v>
      </c>
      <c r="S164" s="21">
        <f t="shared" si="398"/>
        <v>0</v>
      </c>
      <c r="T164" s="21">
        <f t="shared" si="399"/>
        <v>0</v>
      </c>
      <c r="U164" s="21">
        <f t="shared" si="400"/>
        <v>0</v>
      </c>
      <c r="V164" s="21">
        <f>VLOOKUP($L164,EQP!$A$2:$S$10,5,0)</f>
        <v>260</v>
      </c>
      <c r="W164" s="21">
        <f>VLOOKUP($L164,EQP!$A$2:$S$10,6,0)</f>
        <v>360</v>
      </c>
      <c r="X164" s="21">
        <f>VLOOKUP($L164,EQP!$A$2:$S$10,7,0)</f>
        <v>205</v>
      </c>
      <c r="Y164" s="21">
        <f t="shared" si="373"/>
        <v>0</v>
      </c>
      <c r="Z164" s="21">
        <f t="shared" si="374"/>
        <v>5</v>
      </c>
      <c r="AA164" s="21">
        <f t="shared" si="375"/>
        <v>0</v>
      </c>
      <c r="AB164" s="21">
        <f t="shared" si="401"/>
        <v>0</v>
      </c>
      <c r="AC164" s="21">
        <f t="shared" si="402"/>
        <v>0</v>
      </c>
      <c r="AD164" s="21">
        <f t="shared" si="403"/>
        <v>0</v>
      </c>
      <c r="AE164" s="21">
        <f>VLOOKUP($L164,EQP!$A$2:$S$10,8,0)</f>
        <v>205</v>
      </c>
      <c r="AF164" s="21">
        <f>VLOOKUP($L164,EQP!$A$2:$S$10,9,0)</f>
        <v>360</v>
      </c>
      <c r="AG164" s="21">
        <f>VLOOKUP($L164,EQP!$A$2:$S$10,10,0)</f>
        <v>260</v>
      </c>
      <c r="AH164" s="21">
        <f t="shared" si="376"/>
        <v>0</v>
      </c>
      <c r="AI164" s="21">
        <f t="shared" si="377"/>
        <v>5</v>
      </c>
      <c r="AJ164" s="21">
        <f t="shared" si="378"/>
        <v>1</v>
      </c>
      <c r="AK164" s="21">
        <f t="shared" si="404"/>
        <v>0</v>
      </c>
      <c r="AL164" s="21">
        <f t="shared" si="405"/>
        <v>1</v>
      </c>
      <c r="AM164" s="21">
        <f t="shared" si="406"/>
        <v>0</v>
      </c>
      <c r="AN164" s="21">
        <f>VLOOKUP($L164,EQP!$A$2:$S$10,11,0)</f>
        <v>205</v>
      </c>
      <c r="AO164" s="21">
        <f>VLOOKUP($L164,EQP!$A$2:$S$10,12,0)</f>
        <v>260</v>
      </c>
      <c r="AP164" s="21">
        <f>VLOOKUP($L164,EQP!$A$2:$S$10,13,0)</f>
        <v>360</v>
      </c>
      <c r="AQ164" s="21">
        <f t="shared" si="379"/>
        <v>0</v>
      </c>
      <c r="AR164" s="21">
        <f t="shared" si="380"/>
        <v>3</v>
      </c>
      <c r="AS164" s="21">
        <f t="shared" si="381"/>
        <v>1</v>
      </c>
      <c r="AT164" s="21">
        <f t="shared" si="407"/>
        <v>0</v>
      </c>
      <c r="AU164" s="21">
        <f t="shared" si="408"/>
        <v>1</v>
      </c>
      <c r="AV164" s="21">
        <f t="shared" si="409"/>
        <v>0</v>
      </c>
      <c r="AW164" s="21">
        <f>VLOOKUP($L164,EQP!$A$2:$S$10,14,0)</f>
        <v>260</v>
      </c>
      <c r="AX164" s="21">
        <f>VLOOKUP($L164,EQP!$A$2:$S$10,15,0)</f>
        <v>205</v>
      </c>
      <c r="AY164" s="21">
        <f>VLOOKUP($L164,EQP!$A$2:$S$10,16,0)</f>
        <v>360</v>
      </c>
      <c r="AZ164" s="21">
        <f t="shared" si="382"/>
        <v>0</v>
      </c>
      <c r="BA164" s="21">
        <f t="shared" si="383"/>
        <v>3</v>
      </c>
      <c r="BB164" s="21">
        <f t="shared" si="384"/>
        <v>1</v>
      </c>
      <c r="BC164" s="21">
        <f t="shared" si="410"/>
        <v>0</v>
      </c>
      <c r="BD164" s="21">
        <f t="shared" si="411"/>
        <v>1</v>
      </c>
      <c r="BE164" s="21">
        <f t="shared" si="412"/>
        <v>0</v>
      </c>
      <c r="BF164" s="21">
        <f>VLOOKUP($L164,EQP!$A$2:$S$10,17,0)</f>
        <v>360</v>
      </c>
      <c r="BG164" s="21">
        <f>VLOOKUP($L164,EQP!$A$2:$S$10,18,0)</f>
        <v>205</v>
      </c>
      <c r="BH164" s="21">
        <f>VLOOKUP($L164,EQP!$A$2:$S$10,19,0)</f>
        <v>260</v>
      </c>
      <c r="BI164" s="21">
        <f t="shared" si="385"/>
        <v>0</v>
      </c>
      <c r="BJ164" s="21">
        <f t="shared" si="386"/>
        <v>3</v>
      </c>
      <c r="BK164" s="21">
        <f t="shared" si="387"/>
        <v>1</v>
      </c>
      <c r="BL164" s="21">
        <f t="shared" si="413"/>
        <v>0</v>
      </c>
      <c r="BM164" s="21">
        <f t="shared" si="414"/>
        <v>1</v>
      </c>
      <c r="BN164" s="21">
        <f t="shared" si="415"/>
        <v>0</v>
      </c>
    </row>
    <row r="165" spans="1:66" x14ac:dyDescent="0.3">
      <c r="A165" s="5" t="str">
        <f t="shared" si="322"/>
        <v>1</v>
      </c>
      <c r="B165" s="6">
        <f t="shared" si="388"/>
        <v>5</v>
      </c>
      <c r="C165" s="7">
        <f t="shared" si="389"/>
        <v>14007838</v>
      </c>
      <c r="D165" s="7" t="str">
        <f t="shared" si="390"/>
        <v>DRIVER SIDE BOOSTER COVER ASSY</v>
      </c>
      <c r="E165" s="6">
        <f t="shared" si="391"/>
        <v>410</v>
      </c>
      <c r="F165" s="6">
        <f t="shared" si="392"/>
        <v>280</v>
      </c>
      <c r="G165" s="6">
        <f t="shared" si="393"/>
        <v>160</v>
      </c>
      <c r="H165" s="6">
        <f t="shared" si="394"/>
        <v>16</v>
      </c>
      <c r="I165" s="6">
        <f t="shared" si="395"/>
        <v>1</v>
      </c>
      <c r="J165" s="6">
        <f t="shared" si="396"/>
        <v>16</v>
      </c>
      <c r="K165" s="6">
        <f t="shared" si="397"/>
        <v>202</v>
      </c>
      <c r="L165" s="5" t="str">
        <f t="shared" si="416"/>
        <v>Crate (400 x 300 x 220) mm</v>
      </c>
      <c r="M165" s="21">
        <f>VLOOKUP($L165,EQP!$A$2:$S$10,2,0)</f>
        <v>360</v>
      </c>
      <c r="N165" s="21">
        <f>VLOOKUP($L165,EQP!$A$2:$S$10,3,0)</f>
        <v>260</v>
      </c>
      <c r="O165" s="21">
        <f>VLOOKUP($L165,EQP!$A$2:$S$10,4,0)</f>
        <v>205</v>
      </c>
      <c r="P165" s="21">
        <f t="shared" si="370"/>
        <v>0</v>
      </c>
      <c r="Q165" s="21">
        <f t="shared" si="371"/>
        <v>0</v>
      </c>
      <c r="R165" s="21">
        <f t="shared" si="372"/>
        <v>1</v>
      </c>
      <c r="S165" s="21">
        <f t="shared" si="398"/>
        <v>0</v>
      </c>
      <c r="T165" s="21">
        <f t="shared" si="399"/>
        <v>1</v>
      </c>
      <c r="U165" s="21">
        <f t="shared" si="400"/>
        <v>0</v>
      </c>
      <c r="V165" s="21">
        <f>VLOOKUP($L165,EQP!$A$2:$S$10,5,0)</f>
        <v>260</v>
      </c>
      <c r="W165" s="21">
        <f>VLOOKUP($L165,EQP!$A$2:$S$10,6,0)</f>
        <v>360</v>
      </c>
      <c r="X165" s="21">
        <f>VLOOKUP($L165,EQP!$A$2:$S$10,7,0)</f>
        <v>205</v>
      </c>
      <c r="Y165" s="21">
        <f t="shared" si="373"/>
        <v>0</v>
      </c>
      <c r="Z165" s="21">
        <f t="shared" si="374"/>
        <v>1</v>
      </c>
      <c r="AA165" s="21">
        <f t="shared" si="375"/>
        <v>1</v>
      </c>
      <c r="AB165" s="21">
        <f t="shared" si="401"/>
        <v>0</v>
      </c>
      <c r="AC165" s="21">
        <f t="shared" si="402"/>
        <v>1</v>
      </c>
      <c r="AD165" s="21">
        <f t="shared" si="403"/>
        <v>0</v>
      </c>
      <c r="AE165" s="21">
        <f>VLOOKUP($L165,EQP!$A$2:$S$10,8,0)</f>
        <v>205</v>
      </c>
      <c r="AF165" s="21">
        <f>VLOOKUP($L165,EQP!$A$2:$S$10,9,0)</f>
        <v>360</v>
      </c>
      <c r="AG165" s="21">
        <f>VLOOKUP($L165,EQP!$A$2:$S$10,10,0)</f>
        <v>260</v>
      </c>
      <c r="AH165" s="21">
        <f t="shared" si="376"/>
        <v>0</v>
      </c>
      <c r="AI165" s="21">
        <f t="shared" si="377"/>
        <v>1</v>
      </c>
      <c r="AJ165" s="21">
        <f t="shared" si="378"/>
        <v>1</v>
      </c>
      <c r="AK165" s="21">
        <f t="shared" si="404"/>
        <v>0</v>
      </c>
      <c r="AL165" s="21">
        <f t="shared" si="405"/>
        <v>1</v>
      </c>
      <c r="AM165" s="21">
        <f t="shared" si="406"/>
        <v>0</v>
      </c>
      <c r="AN165" s="21">
        <f>VLOOKUP($L165,EQP!$A$2:$S$10,11,0)</f>
        <v>205</v>
      </c>
      <c r="AO165" s="21">
        <f>VLOOKUP($L165,EQP!$A$2:$S$10,12,0)</f>
        <v>260</v>
      </c>
      <c r="AP165" s="21">
        <f>VLOOKUP($L165,EQP!$A$2:$S$10,13,0)</f>
        <v>360</v>
      </c>
      <c r="AQ165" s="21">
        <f t="shared" si="379"/>
        <v>0</v>
      </c>
      <c r="AR165" s="21">
        <f t="shared" si="380"/>
        <v>0</v>
      </c>
      <c r="AS165" s="21">
        <f t="shared" si="381"/>
        <v>2</v>
      </c>
      <c r="AT165" s="21">
        <f t="shared" si="407"/>
        <v>0</v>
      </c>
      <c r="AU165" s="21">
        <f t="shared" si="408"/>
        <v>2</v>
      </c>
      <c r="AV165" s="21">
        <f t="shared" si="409"/>
        <v>0</v>
      </c>
      <c r="AW165" s="21">
        <f>VLOOKUP($L165,EQP!$A$2:$S$10,14,0)</f>
        <v>260</v>
      </c>
      <c r="AX165" s="21">
        <f>VLOOKUP($L165,EQP!$A$2:$S$10,15,0)</f>
        <v>205</v>
      </c>
      <c r="AY165" s="21">
        <f>VLOOKUP($L165,EQP!$A$2:$S$10,16,0)</f>
        <v>360</v>
      </c>
      <c r="AZ165" s="21">
        <f t="shared" si="382"/>
        <v>0</v>
      </c>
      <c r="BA165" s="21">
        <f t="shared" si="383"/>
        <v>0</v>
      </c>
      <c r="BB165" s="21">
        <f t="shared" si="384"/>
        <v>2</v>
      </c>
      <c r="BC165" s="21">
        <f t="shared" si="410"/>
        <v>0</v>
      </c>
      <c r="BD165" s="21">
        <f t="shared" si="411"/>
        <v>2</v>
      </c>
      <c r="BE165" s="21">
        <f t="shared" si="412"/>
        <v>0</v>
      </c>
      <c r="BF165" s="21">
        <f>VLOOKUP($L165,EQP!$A$2:$S$10,17,0)</f>
        <v>360</v>
      </c>
      <c r="BG165" s="21">
        <f>VLOOKUP($L165,EQP!$A$2:$S$10,18,0)</f>
        <v>205</v>
      </c>
      <c r="BH165" s="21">
        <f>VLOOKUP($L165,EQP!$A$2:$S$10,19,0)</f>
        <v>260</v>
      </c>
      <c r="BI165" s="21">
        <f t="shared" si="385"/>
        <v>0</v>
      </c>
      <c r="BJ165" s="21">
        <f t="shared" si="386"/>
        <v>0</v>
      </c>
      <c r="BK165" s="21">
        <f t="shared" si="387"/>
        <v>1</v>
      </c>
      <c r="BL165" s="21">
        <f t="shared" si="413"/>
        <v>0</v>
      </c>
      <c r="BM165" s="21">
        <f t="shared" si="414"/>
        <v>1</v>
      </c>
      <c r="BN165" s="21">
        <f t="shared" si="415"/>
        <v>0</v>
      </c>
    </row>
    <row r="166" spans="1:66" x14ac:dyDescent="0.3">
      <c r="A166" s="5" t="str">
        <f t="shared" si="322"/>
        <v>1</v>
      </c>
      <c r="B166" s="6">
        <f t="shared" si="388"/>
        <v>6</v>
      </c>
      <c r="C166" s="7">
        <f t="shared" si="389"/>
        <v>14007839</v>
      </c>
      <c r="D166" s="7" t="str">
        <f t="shared" si="390"/>
        <v>PASSENGER SIDE KNEE COVER RHD ASSY</v>
      </c>
      <c r="E166" s="6">
        <f t="shared" si="391"/>
        <v>380</v>
      </c>
      <c r="F166" s="6">
        <f t="shared" si="392"/>
        <v>110</v>
      </c>
      <c r="G166" s="6">
        <f t="shared" si="393"/>
        <v>295</v>
      </c>
      <c r="H166" s="6">
        <f t="shared" si="394"/>
        <v>64</v>
      </c>
      <c r="I166" s="6">
        <f t="shared" si="395"/>
        <v>1</v>
      </c>
      <c r="J166" s="6">
        <f t="shared" si="396"/>
        <v>64</v>
      </c>
      <c r="K166" s="6">
        <f t="shared" si="397"/>
        <v>50</v>
      </c>
      <c r="L166" s="5" t="str">
        <f t="shared" si="416"/>
        <v>Crate (400 x 300 x 220) mm</v>
      </c>
      <c r="M166" s="21">
        <f>VLOOKUP($L166,EQP!$A$2:$S$10,2,0)</f>
        <v>360</v>
      </c>
      <c r="N166" s="21">
        <f>VLOOKUP($L166,EQP!$A$2:$S$10,3,0)</f>
        <v>260</v>
      </c>
      <c r="O166" s="21">
        <f>VLOOKUP($L166,EQP!$A$2:$S$10,4,0)</f>
        <v>205</v>
      </c>
      <c r="P166" s="21">
        <f t="shared" si="370"/>
        <v>0</v>
      </c>
      <c r="Q166" s="21">
        <f t="shared" si="371"/>
        <v>2</v>
      </c>
      <c r="R166" s="21">
        <f t="shared" si="372"/>
        <v>0</v>
      </c>
      <c r="S166" s="21">
        <f t="shared" si="398"/>
        <v>0</v>
      </c>
      <c r="T166" s="21">
        <f t="shared" si="399"/>
        <v>0</v>
      </c>
      <c r="U166" s="21">
        <f t="shared" si="400"/>
        <v>0</v>
      </c>
      <c r="V166" s="21">
        <f>VLOOKUP($L166,EQP!$A$2:$S$10,5,0)</f>
        <v>260</v>
      </c>
      <c r="W166" s="21">
        <f>VLOOKUP($L166,EQP!$A$2:$S$10,6,0)</f>
        <v>360</v>
      </c>
      <c r="X166" s="21">
        <f>VLOOKUP($L166,EQP!$A$2:$S$10,7,0)</f>
        <v>205</v>
      </c>
      <c r="Y166" s="21">
        <f t="shared" si="373"/>
        <v>0</v>
      </c>
      <c r="Z166" s="21">
        <f t="shared" si="374"/>
        <v>3</v>
      </c>
      <c r="AA166" s="21">
        <f t="shared" si="375"/>
        <v>0</v>
      </c>
      <c r="AB166" s="21">
        <f t="shared" si="401"/>
        <v>0</v>
      </c>
      <c r="AC166" s="21">
        <f t="shared" si="402"/>
        <v>0</v>
      </c>
      <c r="AD166" s="21">
        <f t="shared" si="403"/>
        <v>0</v>
      </c>
      <c r="AE166" s="21">
        <f>VLOOKUP($L166,EQP!$A$2:$S$10,8,0)</f>
        <v>205</v>
      </c>
      <c r="AF166" s="21">
        <f>VLOOKUP($L166,EQP!$A$2:$S$10,9,0)</f>
        <v>360</v>
      </c>
      <c r="AG166" s="21">
        <f>VLOOKUP($L166,EQP!$A$2:$S$10,10,0)</f>
        <v>260</v>
      </c>
      <c r="AH166" s="21">
        <f t="shared" si="376"/>
        <v>0</v>
      </c>
      <c r="AI166" s="21">
        <f t="shared" si="377"/>
        <v>3</v>
      </c>
      <c r="AJ166" s="21">
        <f t="shared" si="378"/>
        <v>0</v>
      </c>
      <c r="AK166" s="21">
        <f t="shared" si="404"/>
        <v>0</v>
      </c>
      <c r="AL166" s="21">
        <f t="shared" si="405"/>
        <v>0</v>
      </c>
      <c r="AM166" s="21">
        <f t="shared" si="406"/>
        <v>0</v>
      </c>
      <c r="AN166" s="21">
        <f>VLOOKUP($L166,EQP!$A$2:$S$10,11,0)</f>
        <v>205</v>
      </c>
      <c r="AO166" s="21">
        <f>VLOOKUP($L166,EQP!$A$2:$S$10,12,0)</f>
        <v>260</v>
      </c>
      <c r="AP166" s="21">
        <f>VLOOKUP($L166,EQP!$A$2:$S$10,13,0)</f>
        <v>360</v>
      </c>
      <c r="AQ166" s="21">
        <f t="shared" si="379"/>
        <v>0</v>
      </c>
      <c r="AR166" s="21">
        <f t="shared" si="380"/>
        <v>2</v>
      </c>
      <c r="AS166" s="21">
        <f t="shared" si="381"/>
        <v>1</v>
      </c>
      <c r="AT166" s="21">
        <f t="shared" si="407"/>
        <v>0</v>
      </c>
      <c r="AU166" s="21">
        <f t="shared" si="408"/>
        <v>1</v>
      </c>
      <c r="AV166" s="21">
        <f t="shared" si="409"/>
        <v>0</v>
      </c>
      <c r="AW166" s="21">
        <f>VLOOKUP($L166,EQP!$A$2:$S$10,14,0)</f>
        <v>260</v>
      </c>
      <c r="AX166" s="21">
        <f>VLOOKUP($L166,EQP!$A$2:$S$10,15,0)</f>
        <v>205</v>
      </c>
      <c r="AY166" s="21">
        <f>VLOOKUP($L166,EQP!$A$2:$S$10,16,0)</f>
        <v>360</v>
      </c>
      <c r="AZ166" s="21">
        <f t="shared" si="382"/>
        <v>0</v>
      </c>
      <c r="BA166" s="21">
        <f t="shared" si="383"/>
        <v>1</v>
      </c>
      <c r="BB166" s="21">
        <f t="shared" si="384"/>
        <v>1</v>
      </c>
      <c r="BC166" s="21">
        <f t="shared" si="410"/>
        <v>0</v>
      </c>
      <c r="BD166" s="21">
        <f t="shared" si="411"/>
        <v>1</v>
      </c>
      <c r="BE166" s="21">
        <f t="shared" si="412"/>
        <v>0</v>
      </c>
      <c r="BF166" s="21">
        <f>VLOOKUP($L166,EQP!$A$2:$S$10,17,0)</f>
        <v>360</v>
      </c>
      <c r="BG166" s="21">
        <f>VLOOKUP($L166,EQP!$A$2:$S$10,18,0)</f>
        <v>205</v>
      </c>
      <c r="BH166" s="21">
        <f>VLOOKUP($L166,EQP!$A$2:$S$10,19,0)</f>
        <v>260</v>
      </c>
      <c r="BI166" s="21">
        <f t="shared" si="385"/>
        <v>0</v>
      </c>
      <c r="BJ166" s="21">
        <f t="shared" si="386"/>
        <v>1</v>
      </c>
      <c r="BK166" s="21">
        <f t="shared" si="387"/>
        <v>0</v>
      </c>
      <c r="BL166" s="21">
        <f t="shared" si="413"/>
        <v>0</v>
      </c>
      <c r="BM166" s="21">
        <f t="shared" si="414"/>
        <v>0</v>
      </c>
      <c r="BN166" s="21">
        <f t="shared" si="415"/>
        <v>0</v>
      </c>
    </row>
    <row r="167" spans="1:66" x14ac:dyDescent="0.3">
      <c r="A167" s="5" t="str">
        <f t="shared" si="322"/>
        <v>1</v>
      </c>
      <c r="B167" s="6">
        <f t="shared" si="388"/>
        <v>7</v>
      </c>
      <c r="C167" s="7">
        <f t="shared" si="389"/>
        <v>14007840</v>
      </c>
      <c r="D167" s="7" t="str">
        <f t="shared" si="390"/>
        <v>END CAP LH ASSY</v>
      </c>
      <c r="E167" s="6">
        <f t="shared" si="391"/>
        <v>130</v>
      </c>
      <c r="F167" s="6">
        <f t="shared" si="392"/>
        <v>50</v>
      </c>
      <c r="G167" s="6">
        <f t="shared" si="393"/>
        <v>385</v>
      </c>
      <c r="H167" s="6">
        <f t="shared" si="394"/>
        <v>192</v>
      </c>
      <c r="I167" s="6">
        <f t="shared" si="395"/>
        <v>1</v>
      </c>
      <c r="J167" s="6">
        <f t="shared" si="396"/>
        <v>192</v>
      </c>
      <c r="K167" s="6">
        <f t="shared" si="397"/>
        <v>18</v>
      </c>
      <c r="L167" s="5" t="str">
        <f t="shared" si="416"/>
        <v>Crate (400 x 300 x 220) mm</v>
      </c>
      <c r="M167" s="21">
        <f>VLOOKUP($L167,EQP!$A$2:$S$10,2,0)</f>
        <v>360</v>
      </c>
      <c r="N167" s="21">
        <f>VLOOKUP($L167,EQP!$A$2:$S$10,3,0)</f>
        <v>260</v>
      </c>
      <c r="O167" s="21">
        <f>VLOOKUP($L167,EQP!$A$2:$S$10,4,0)</f>
        <v>205</v>
      </c>
      <c r="P167" s="21">
        <f t="shared" si="370"/>
        <v>2</v>
      </c>
      <c r="Q167" s="21">
        <f t="shared" si="371"/>
        <v>4</v>
      </c>
      <c r="R167" s="21">
        <f t="shared" si="372"/>
        <v>0</v>
      </c>
      <c r="S167" s="21">
        <f t="shared" si="398"/>
        <v>8</v>
      </c>
      <c r="T167" s="21">
        <f t="shared" si="399"/>
        <v>0</v>
      </c>
      <c r="U167" s="21">
        <f t="shared" si="400"/>
        <v>0</v>
      </c>
      <c r="V167" s="21">
        <f>VLOOKUP($L167,EQP!$A$2:$S$10,5,0)</f>
        <v>260</v>
      </c>
      <c r="W167" s="21">
        <f>VLOOKUP($L167,EQP!$A$2:$S$10,6,0)</f>
        <v>360</v>
      </c>
      <c r="X167" s="21">
        <f>VLOOKUP($L167,EQP!$A$2:$S$10,7,0)</f>
        <v>205</v>
      </c>
      <c r="Y167" s="21">
        <f t="shared" si="373"/>
        <v>1</v>
      </c>
      <c r="Z167" s="21">
        <f t="shared" si="374"/>
        <v>6</v>
      </c>
      <c r="AA167" s="21">
        <f t="shared" si="375"/>
        <v>0</v>
      </c>
      <c r="AB167" s="21">
        <f t="shared" si="401"/>
        <v>6</v>
      </c>
      <c r="AC167" s="21">
        <f t="shared" si="402"/>
        <v>0</v>
      </c>
      <c r="AD167" s="21">
        <f t="shared" si="403"/>
        <v>0</v>
      </c>
      <c r="AE167" s="21">
        <f>VLOOKUP($L167,EQP!$A$2:$S$10,8,0)</f>
        <v>205</v>
      </c>
      <c r="AF167" s="21">
        <f>VLOOKUP($L167,EQP!$A$2:$S$10,9,0)</f>
        <v>360</v>
      </c>
      <c r="AG167" s="21">
        <f>VLOOKUP($L167,EQP!$A$2:$S$10,10,0)</f>
        <v>260</v>
      </c>
      <c r="AH167" s="21">
        <f t="shared" si="376"/>
        <v>1</v>
      </c>
      <c r="AI167" s="21">
        <f t="shared" si="377"/>
        <v>6</v>
      </c>
      <c r="AJ167" s="21">
        <f t="shared" si="378"/>
        <v>0</v>
      </c>
      <c r="AK167" s="21">
        <f t="shared" si="404"/>
        <v>6</v>
      </c>
      <c r="AL167" s="21">
        <f t="shared" si="405"/>
        <v>0</v>
      </c>
      <c r="AM167" s="21">
        <f t="shared" si="406"/>
        <v>0</v>
      </c>
      <c r="AN167" s="21">
        <f>VLOOKUP($L167,EQP!$A$2:$S$10,11,0)</f>
        <v>205</v>
      </c>
      <c r="AO167" s="21">
        <f>VLOOKUP($L167,EQP!$A$2:$S$10,12,0)</f>
        <v>260</v>
      </c>
      <c r="AP167" s="21">
        <f>VLOOKUP($L167,EQP!$A$2:$S$10,13,0)</f>
        <v>360</v>
      </c>
      <c r="AQ167" s="21">
        <f t="shared" si="379"/>
        <v>1</v>
      </c>
      <c r="AR167" s="21">
        <f t="shared" si="380"/>
        <v>4</v>
      </c>
      <c r="AS167" s="21">
        <f t="shared" si="381"/>
        <v>0</v>
      </c>
      <c r="AT167" s="21">
        <f t="shared" si="407"/>
        <v>4</v>
      </c>
      <c r="AU167" s="21">
        <f t="shared" si="408"/>
        <v>0</v>
      </c>
      <c r="AV167" s="21">
        <f t="shared" si="409"/>
        <v>0</v>
      </c>
      <c r="AW167" s="21">
        <f>VLOOKUP($L167,EQP!$A$2:$S$10,14,0)</f>
        <v>260</v>
      </c>
      <c r="AX167" s="21">
        <f>VLOOKUP($L167,EQP!$A$2:$S$10,15,0)</f>
        <v>205</v>
      </c>
      <c r="AY167" s="21">
        <f>VLOOKUP($L167,EQP!$A$2:$S$10,16,0)</f>
        <v>360</v>
      </c>
      <c r="AZ167" s="21">
        <f t="shared" si="382"/>
        <v>1</v>
      </c>
      <c r="BA167" s="21">
        <f t="shared" si="383"/>
        <v>3</v>
      </c>
      <c r="BB167" s="21">
        <f t="shared" si="384"/>
        <v>0</v>
      </c>
      <c r="BC167" s="21">
        <f t="shared" si="410"/>
        <v>3</v>
      </c>
      <c r="BD167" s="21">
        <f t="shared" si="411"/>
        <v>0</v>
      </c>
      <c r="BE167" s="21">
        <f t="shared" si="412"/>
        <v>0</v>
      </c>
      <c r="BF167" s="21">
        <f>VLOOKUP($L167,EQP!$A$2:$S$10,17,0)</f>
        <v>360</v>
      </c>
      <c r="BG167" s="21">
        <f>VLOOKUP($L167,EQP!$A$2:$S$10,18,0)</f>
        <v>205</v>
      </c>
      <c r="BH167" s="21">
        <f>VLOOKUP($L167,EQP!$A$2:$S$10,19,0)</f>
        <v>260</v>
      </c>
      <c r="BI167" s="21">
        <f t="shared" si="385"/>
        <v>2</v>
      </c>
      <c r="BJ167" s="21">
        <f t="shared" si="386"/>
        <v>3</v>
      </c>
      <c r="BK167" s="21">
        <f t="shared" si="387"/>
        <v>0</v>
      </c>
      <c r="BL167" s="21">
        <f t="shared" si="413"/>
        <v>6</v>
      </c>
      <c r="BM167" s="21">
        <f t="shared" si="414"/>
        <v>0</v>
      </c>
      <c r="BN167" s="21">
        <f t="shared" si="415"/>
        <v>0</v>
      </c>
    </row>
    <row r="168" spans="1:66" x14ac:dyDescent="0.3">
      <c r="A168" s="5" t="str">
        <f t="shared" si="322"/>
        <v>1</v>
      </c>
      <c r="B168" s="6">
        <f t="shared" si="388"/>
        <v>8</v>
      </c>
      <c r="C168" s="7">
        <f t="shared" si="389"/>
        <v>14007841</v>
      </c>
      <c r="D168" s="7" t="str">
        <f t="shared" si="390"/>
        <v>END CAP RH ASSY</v>
      </c>
      <c r="E168" s="6">
        <f t="shared" si="391"/>
        <v>130</v>
      </c>
      <c r="F168" s="6">
        <f t="shared" si="392"/>
        <v>50</v>
      </c>
      <c r="G168" s="6">
        <f t="shared" si="393"/>
        <v>385</v>
      </c>
      <c r="H168" s="6">
        <f t="shared" si="394"/>
        <v>192</v>
      </c>
      <c r="I168" s="6">
        <f t="shared" si="395"/>
        <v>1</v>
      </c>
      <c r="J168" s="6">
        <f t="shared" si="396"/>
        <v>192</v>
      </c>
      <c r="K168" s="6">
        <f t="shared" si="397"/>
        <v>18</v>
      </c>
      <c r="L168" s="5" t="str">
        <f t="shared" si="416"/>
        <v>Crate (400 x 300 x 220) mm</v>
      </c>
      <c r="M168" s="21">
        <f>VLOOKUP($L168,EQP!$A$2:$S$10,2,0)</f>
        <v>360</v>
      </c>
      <c r="N168" s="21">
        <f>VLOOKUP($L168,EQP!$A$2:$S$10,3,0)</f>
        <v>260</v>
      </c>
      <c r="O168" s="21">
        <f>VLOOKUP($L168,EQP!$A$2:$S$10,4,0)</f>
        <v>205</v>
      </c>
      <c r="P168" s="21">
        <f t="shared" si="370"/>
        <v>2</v>
      </c>
      <c r="Q168" s="21">
        <f t="shared" si="371"/>
        <v>4</v>
      </c>
      <c r="R168" s="21">
        <f t="shared" si="372"/>
        <v>0</v>
      </c>
      <c r="S168" s="21">
        <f t="shared" si="398"/>
        <v>8</v>
      </c>
      <c r="T168" s="21">
        <f t="shared" si="399"/>
        <v>0</v>
      </c>
      <c r="U168" s="21">
        <f t="shared" si="400"/>
        <v>0</v>
      </c>
      <c r="V168" s="21">
        <f>VLOOKUP($L168,EQP!$A$2:$S$10,5,0)</f>
        <v>260</v>
      </c>
      <c r="W168" s="21">
        <f>VLOOKUP($L168,EQP!$A$2:$S$10,6,0)</f>
        <v>360</v>
      </c>
      <c r="X168" s="21">
        <f>VLOOKUP($L168,EQP!$A$2:$S$10,7,0)</f>
        <v>205</v>
      </c>
      <c r="Y168" s="21">
        <f t="shared" si="373"/>
        <v>1</v>
      </c>
      <c r="Z168" s="21">
        <f t="shared" si="374"/>
        <v>6</v>
      </c>
      <c r="AA168" s="21">
        <f t="shared" si="375"/>
        <v>0</v>
      </c>
      <c r="AB168" s="21">
        <f t="shared" si="401"/>
        <v>6</v>
      </c>
      <c r="AC168" s="21">
        <f t="shared" si="402"/>
        <v>0</v>
      </c>
      <c r="AD168" s="21">
        <f t="shared" si="403"/>
        <v>0</v>
      </c>
      <c r="AE168" s="21">
        <f>VLOOKUP($L168,EQP!$A$2:$S$10,8,0)</f>
        <v>205</v>
      </c>
      <c r="AF168" s="21">
        <f>VLOOKUP($L168,EQP!$A$2:$S$10,9,0)</f>
        <v>360</v>
      </c>
      <c r="AG168" s="21">
        <f>VLOOKUP($L168,EQP!$A$2:$S$10,10,0)</f>
        <v>260</v>
      </c>
      <c r="AH168" s="21">
        <f t="shared" si="376"/>
        <v>1</v>
      </c>
      <c r="AI168" s="21">
        <f t="shared" si="377"/>
        <v>6</v>
      </c>
      <c r="AJ168" s="21">
        <f t="shared" si="378"/>
        <v>0</v>
      </c>
      <c r="AK168" s="21">
        <f t="shared" si="404"/>
        <v>6</v>
      </c>
      <c r="AL168" s="21">
        <f t="shared" si="405"/>
        <v>0</v>
      </c>
      <c r="AM168" s="21">
        <f t="shared" si="406"/>
        <v>0</v>
      </c>
      <c r="AN168" s="21">
        <f>VLOOKUP($L168,EQP!$A$2:$S$10,11,0)</f>
        <v>205</v>
      </c>
      <c r="AO168" s="21">
        <f>VLOOKUP($L168,EQP!$A$2:$S$10,12,0)</f>
        <v>260</v>
      </c>
      <c r="AP168" s="21">
        <f>VLOOKUP($L168,EQP!$A$2:$S$10,13,0)</f>
        <v>360</v>
      </c>
      <c r="AQ168" s="21">
        <f t="shared" si="379"/>
        <v>1</v>
      </c>
      <c r="AR168" s="21">
        <f t="shared" si="380"/>
        <v>4</v>
      </c>
      <c r="AS168" s="21">
        <f t="shared" si="381"/>
        <v>0</v>
      </c>
      <c r="AT168" s="21">
        <f t="shared" si="407"/>
        <v>4</v>
      </c>
      <c r="AU168" s="21">
        <f t="shared" si="408"/>
        <v>0</v>
      </c>
      <c r="AV168" s="21">
        <f t="shared" si="409"/>
        <v>0</v>
      </c>
      <c r="AW168" s="21">
        <f>VLOOKUP($L168,EQP!$A$2:$S$10,14,0)</f>
        <v>260</v>
      </c>
      <c r="AX168" s="21">
        <f>VLOOKUP($L168,EQP!$A$2:$S$10,15,0)</f>
        <v>205</v>
      </c>
      <c r="AY168" s="21">
        <f>VLOOKUP($L168,EQP!$A$2:$S$10,16,0)</f>
        <v>360</v>
      </c>
      <c r="AZ168" s="21">
        <f t="shared" si="382"/>
        <v>1</v>
      </c>
      <c r="BA168" s="21">
        <f t="shared" si="383"/>
        <v>3</v>
      </c>
      <c r="BB168" s="21">
        <f t="shared" si="384"/>
        <v>0</v>
      </c>
      <c r="BC168" s="21">
        <f t="shared" si="410"/>
        <v>3</v>
      </c>
      <c r="BD168" s="21">
        <f t="shared" si="411"/>
        <v>0</v>
      </c>
      <c r="BE168" s="21">
        <f t="shared" si="412"/>
        <v>0</v>
      </c>
      <c r="BF168" s="21">
        <f>VLOOKUP($L168,EQP!$A$2:$S$10,17,0)</f>
        <v>360</v>
      </c>
      <c r="BG168" s="21">
        <f>VLOOKUP($L168,EQP!$A$2:$S$10,18,0)</f>
        <v>205</v>
      </c>
      <c r="BH168" s="21">
        <f>VLOOKUP($L168,EQP!$A$2:$S$10,19,0)</f>
        <v>260</v>
      </c>
      <c r="BI168" s="21">
        <f t="shared" si="385"/>
        <v>2</v>
      </c>
      <c r="BJ168" s="21">
        <f t="shared" si="386"/>
        <v>3</v>
      </c>
      <c r="BK168" s="21">
        <f t="shared" si="387"/>
        <v>0</v>
      </c>
      <c r="BL168" s="21">
        <f t="shared" si="413"/>
        <v>6</v>
      </c>
      <c r="BM168" s="21">
        <f t="shared" si="414"/>
        <v>0</v>
      </c>
      <c r="BN168" s="21">
        <f t="shared" si="415"/>
        <v>0</v>
      </c>
    </row>
    <row r="169" spans="1:66" x14ac:dyDescent="0.3">
      <c r="A169" s="5" t="str">
        <f t="shared" si="322"/>
        <v>1</v>
      </c>
      <c r="B169" s="6">
        <f t="shared" si="388"/>
        <v>9</v>
      </c>
      <c r="C169" s="7">
        <f t="shared" si="389"/>
        <v>14007842</v>
      </c>
      <c r="D169" s="7" t="str">
        <f t="shared" si="390"/>
        <v>DRIVER SIDE KNEE COVER RHD ASSY</v>
      </c>
      <c r="E169" s="6">
        <f t="shared" si="391"/>
        <v>170</v>
      </c>
      <c r="F169" s="6">
        <f t="shared" si="392"/>
        <v>70</v>
      </c>
      <c r="G169" s="6">
        <f t="shared" si="393"/>
        <v>265</v>
      </c>
      <c r="H169" s="6">
        <f t="shared" si="394"/>
        <v>80</v>
      </c>
      <c r="I169" s="6">
        <f t="shared" si="395"/>
        <v>1</v>
      </c>
      <c r="J169" s="6">
        <f t="shared" si="396"/>
        <v>80</v>
      </c>
      <c r="K169" s="6">
        <f t="shared" si="397"/>
        <v>40</v>
      </c>
      <c r="L169" s="5" t="str">
        <f t="shared" si="416"/>
        <v>Crate (400 x 300 x 220) mm</v>
      </c>
      <c r="M169" s="21">
        <f>VLOOKUP($L169,EQP!$A$2:$S$10,2,0)</f>
        <v>360</v>
      </c>
      <c r="N169" s="21">
        <f>VLOOKUP($L169,EQP!$A$2:$S$10,3,0)</f>
        <v>260</v>
      </c>
      <c r="O169" s="21">
        <f>VLOOKUP($L169,EQP!$A$2:$S$10,4,0)</f>
        <v>205</v>
      </c>
      <c r="P169" s="21">
        <f t="shared" si="370"/>
        <v>2</v>
      </c>
      <c r="Q169" s="21">
        <f t="shared" si="371"/>
        <v>3</v>
      </c>
      <c r="R169" s="21">
        <f t="shared" si="372"/>
        <v>0</v>
      </c>
      <c r="S169" s="21">
        <f t="shared" si="398"/>
        <v>6</v>
      </c>
      <c r="T169" s="21">
        <f t="shared" si="399"/>
        <v>0</v>
      </c>
      <c r="U169" s="21">
        <f t="shared" si="400"/>
        <v>0</v>
      </c>
      <c r="V169" s="21">
        <f>VLOOKUP($L169,EQP!$A$2:$S$10,5,0)</f>
        <v>260</v>
      </c>
      <c r="W169" s="21">
        <f>VLOOKUP($L169,EQP!$A$2:$S$10,6,0)</f>
        <v>360</v>
      </c>
      <c r="X169" s="21">
        <f>VLOOKUP($L169,EQP!$A$2:$S$10,7,0)</f>
        <v>205</v>
      </c>
      <c r="Y169" s="21">
        <f t="shared" si="373"/>
        <v>1</v>
      </c>
      <c r="Z169" s="21">
        <f t="shared" si="374"/>
        <v>4</v>
      </c>
      <c r="AA169" s="21">
        <f t="shared" si="375"/>
        <v>0</v>
      </c>
      <c r="AB169" s="21">
        <f t="shared" si="401"/>
        <v>4</v>
      </c>
      <c r="AC169" s="21">
        <f t="shared" si="402"/>
        <v>0</v>
      </c>
      <c r="AD169" s="21">
        <f t="shared" si="403"/>
        <v>0</v>
      </c>
      <c r="AE169" s="21">
        <f>VLOOKUP($L169,EQP!$A$2:$S$10,8,0)</f>
        <v>205</v>
      </c>
      <c r="AF169" s="21">
        <f>VLOOKUP($L169,EQP!$A$2:$S$10,9,0)</f>
        <v>360</v>
      </c>
      <c r="AG169" s="21">
        <f>VLOOKUP($L169,EQP!$A$2:$S$10,10,0)</f>
        <v>260</v>
      </c>
      <c r="AH169" s="21">
        <f t="shared" si="376"/>
        <v>1</v>
      </c>
      <c r="AI169" s="21">
        <f t="shared" si="377"/>
        <v>4</v>
      </c>
      <c r="AJ169" s="21">
        <f t="shared" si="378"/>
        <v>0</v>
      </c>
      <c r="AK169" s="21">
        <f t="shared" si="404"/>
        <v>4</v>
      </c>
      <c r="AL169" s="21">
        <f t="shared" si="405"/>
        <v>0</v>
      </c>
      <c r="AM169" s="21">
        <f t="shared" si="406"/>
        <v>0</v>
      </c>
      <c r="AN169" s="21">
        <f>VLOOKUP($L169,EQP!$A$2:$S$10,11,0)</f>
        <v>205</v>
      </c>
      <c r="AO169" s="21">
        <f>VLOOKUP($L169,EQP!$A$2:$S$10,12,0)</f>
        <v>260</v>
      </c>
      <c r="AP169" s="21">
        <f>VLOOKUP($L169,EQP!$A$2:$S$10,13,0)</f>
        <v>360</v>
      </c>
      <c r="AQ169" s="21">
        <f t="shared" si="379"/>
        <v>1</v>
      </c>
      <c r="AR169" s="21">
        <f t="shared" si="380"/>
        <v>3</v>
      </c>
      <c r="AS169" s="21">
        <f t="shared" si="381"/>
        <v>1</v>
      </c>
      <c r="AT169" s="21">
        <f t="shared" si="407"/>
        <v>3</v>
      </c>
      <c r="AU169" s="21">
        <f t="shared" si="408"/>
        <v>1</v>
      </c>
      <c r="AV169" s="21">
        <f t="shared" si="409"/>
        <v>3</v>
      </c>
      <c r="AW169" s="21">
        <f>VLOOKUP($L169,EQP!$A$2:$S$10,14,0)</f>
        <v>260</v>
      </c>
      <c r="AX169" s="21">
        <f>VLOOKUP($L169,EQP!$A$2:$S$10,15,0)</f>
        <v>205</v>
      </c>
      <c r="AY169" s="21">
        <f>VLOOKUP($L169,EQP!$A$2:$S$10,16,0)</f>
        <v>360</v>
      </c>
      <c r="AZ169" s="21">
        <f t="shared" si="382"/>
        <v>1</v>
      </c>
      <c r="BA169" s="21">
        <f t="shared" si="383"/>
        <v>2</v>
      </c>
      <c r="BB169" s="21">
        <f t="shared" si="384"/>
        <v>1</v>
      </c>
      <c r="BC169" s="21">
        <f t="shared" si="410"/>
        <v>2</v>
      </c>
      <c r="BD169" s="21">
        <f t="shared" si="411"/>
        <v>1</v>
      </c>
      <c r="BE169" s="21">
        <f t="shared" si="412"/>
        <v>2</v>
      </c>
      <c r="BF169" s="21">
        <f>VLOOKUP($L169,EQP!$A$2:$S$10,17,0)</f>
        <v>360</v>
      </c>
      <c r="BG169" s="21">
        <f>VLOOKUP($L169,EQP!$A$2:$S$10,18,0)</f>
        <v>205</v>
      </c>
      <c r="BH169" s="21">
        <f>VLOOKUP($L169,EQP!$A$2:$S$10,19,0)</f>
        <v>260</v>
      </c>
      <c r="BI169" s="21">
        <f t="shared" si="385"/>
        <v>2</v>
      </c>
      <c r="BJ169" s="21">
        <f t="shared" si="386"/>
        <v>2</v>
      </c>
      <c r="BK169" s="21">
        <f t="shared" si="387"/>
        <v>0</v>
      </c>
      <c r="BL169" s="21">
        <f t="shared" si="413"/>
        <v>4</v>
      </c>
      <c r="BM169" s="21">
        <f t="shared" si="414"/>
        <v>0</v>
      </c>
      <c r="BN169" s="21">
        <f t="shared" si="415"/>
        <v>0</v>
      </c>
    </row>
    <row r="170" spans="1:66" x14ac:dyDescent="0.3">
      <c r="A170" s="5" t="str">
        <f t="shared" si="322"/>
        <v>1</v>
      </c>
      <c r="B170" s="6">
        <f t="shared" si="388"/>
        <v>10</v>
      </c>
      <c r="C170" s="7">
        <f t="shared" si="389"/>
        <v>14007843</v>
      </c>
      <c r="D170" s="7" t="str">
        <f t="shared" si="390"/>
        <v>DIN_BIN</v>
      </c>
      <c r="E170" s="6">
        <f t="shared" si="391"/>
        <v>225</v>
      </c>
      <c r="F170" s="6">
        <f t="shared" si="392"/>
        <v>70</v>
      </c>
      <c r="G170" s="6">
        <f t="shared" si="393"/>
        <v>310</v>
      </c>
      <c r="H170" s="6">
        <f t="shared" si="394"/>
        <v>192</v>
      </c>
      <c r="I170" s="6">
        <f t="shared" si="395"/>
        <v>3</v>
      </c>
      <c r="J170" s="6">
        <f t="shared" si="396"/>
        <v>576</v>
      </c>
      <c r="K170" s="6">
        <f t="shared" si="397"/>
        <v>6</v>
      </c>
      <c r="L170" s="5" t="str">
        <f t="shared" si="416"/>
        <v>Crate (400 x 300 x 220) mm</v>
      </c>
      <c r="M170" s="21">
        <f>VLOOKUP($L170,EQP!$A$2:$S$10,2,0)</f>
        <v>360</v>
      </c>
      <c r="N170" s="21">
        <f>VLOOKUP($L170,EQP!$A$2:$S$10,3,0)</f>
        <v>260</v>
      </c>
      <c r="O170" s="21">
        <f>VLOOKUP($L170,EQP!$A$2:$S$10,4,0)</f>
        <v>205</v>
      </c>
      <c r="P170" s="21">
        <f t="shared" si="370"/>
        <v>1</v>
      </c>
      <c r="Q170" s="21">
        <f t="shared" si="371"/>
        <v>3</v>
      </c>
      <c r="R170" s="21">
        <f t="shared" si="372"/>
        <v>0</v>
      </c>
      <c r="S170" s="21">
        <f t="shared" si="398"/>
        <v>3</v>
      </c>
      <c r="T170" s="21">
        <f t="shared" si="399"/>
        <v>0</v>
      </c>
      <c r="U170" s="21">
        <f t="shared" si="400"/>
        <v>0</v>
      </c>
      <c r="V170" s="21">
        <f>VLOOKUP($L170,EQP!$A$2:$S$10,5,0)</f>
        <v>260</v>
      </c>
      <c r="W170" s="21">
        <f>VLOOKUP($L170,EQP!$A$2:$S$10,6,0)</f>
        <v>360</v>
      </c>
      <c r="X170" s="21">
        <f>VLOOKUP($L170,EQP!$A$2:$S$10,7,0)</f>
        <v>205</v>
      </c>
      <c r="Y170" s="21">
        <f t="shared" si="373"/>
        <v>1</v>
      </c>
      <c r="Z170" s="21">
        <f t="shared" si="374"/>
        <v>4</v>
      </c>
      <c r="AA170" s="21">
        <f t="shared" si="375"/>
        <v>0</v>
      </c>
      <c r="AB170" s="21">
        <f t="shared" si="401"/>
        <v>4</v>
      </c>
      <c r="AC170" s="21">
        <f t="shared" si="402"/>
        <v>0</v>
      </c>
      <c r="AD170" s="21">
        <f t="shared" si="403"/>
        <v>0</v>
      </c>
      <c r="AE170" s="21">
        <f>VLOOKUP($L170,EQP!$A$2:$S$10,8,0)</f>
        <v>205</v>
      </c>
      <c r="AF170" s="21">
        <f>VLOOKUP($L170,EQP!$A$2:$S$10,9,0)</f>
        <v>360</v>
      </c>
      <c r="AG170" s="21">
        <f>VLOOKUP($L170,EQP!$A$2:$S$10,10,0)</f>
        <v>260</v>
      </c>
      <c r="AH170" s="21">
        <f t="shared" si="376"/>
        <v>0</v>
      </c>
      <c r="AI170" s="21">
        <f t="shared" si="377"/>
        <v>4</v>
      </c>
      <c r="AJ170" s="21">
        <f t="shared" si="378"/>
        <v>0</v>
      </c>
      <c r="AK170" s="21">
        <f t="shared" si="404"/>
        <v>0</v>
      </c>
      <c r="AL170" s="21">
        <f t="shared" si="405"/>
        <v>0</v>
      </c>
      <c r="AM170" s="21">
        <f t="shared" si="406"/>
        <v>0</v>
      </c>
      <c r="AN170" s="21">
        <f>VLOOKUP($L170,EQP!$A$2:$S$10,11,0)</f>
        <v>205</v>
      </c>
      <c r="AO170" s="21">
        <f>VLOOKUP($L170,EQP!$A$2:$S$10,12,0)</f>
        <v>260</v>
      </c>
      <c r="AP170" s="21">
        <f>VLOOKUP($L170,EQP!$A$2:$S$10,13,0)</f>
        <v>360</v>
      </c>
      <c r="AQ170" s="21">
        <f t="shared" si="379"/>
        <v>0</v>
      </c>
      <c r="AR170" s="21">
        <f t="shared" si="380"/>
        <v>3</v>
      </c>
      <c r="AS170" s="21">
        <f t="shared" si="381"/>
        <v>1</v>
      </c>
      <c r="AT170" s="21">
        <f t="shared" si="407"/>
        <v>0</v>
      </c>
      <c r="AU170" s="21">
        <f t="shared" si="408"/>
        <v>1</v>
      </c>
      <c r="AV170" s="21">
        <f t="shared" si="409"/>
        <v>0</v>
      </c>
      <c r="AW170" s="21">
        <f>VLOOKUP($L170,EQP!$A$2:$S$10,14,0)</f>
        <v>260</v>
      </c>
      <c r="AX170" s="21">
        <f>VLOOKUP($L170,EQP!$A$2:$S$10,15,0)</f>
        <v>205</v>
      </c>
      <c r="AY170" s="21">
        <f>VLOOKUP($L170,EQP!$A$2:$S$10,16,0)</f>
        <v>360</v>
      </c>
      <c r="AZ170" s="21">
        <f t="shared" si="382"/>
        <v>1</v>
      </c>
      <c r="BA170" s="21">
        <f t="shared" si="383"/>
        <v>2</v>
      </c>
      <c r="BB170" s="21">
        <f t="shared" si="384"/>
        <v>1</v>
      </c>
      <c r="BC170" s="21">
        <f t="shared" si="410"/>
        <v>2</v>
      </c>
      <c r="BD170" s="21">
        <f t="shared" si="411"/>
        <v>1</v>
      </c>
      <c r="BE170" s="21">
        <f t="shared" si="412"/>
        <v>2</v>
      </c>
      <c r="BF170" s="21">
        <f>VLOOKUP($L170,EQP!$A$2:$S$10,17,0)</f>
        <v>360</v>
      </c>
      <c r="BG170" s="21">
        <f>VLOOKUP($L170,EQP!$A$2:$S$10,18,0)</f>
        <v>205</v>
      </c>
      <c r="BH170" s="21">
        <f>VLOOKUP($L170,EQP!$A$2:$S$10,19,0)</f>
        <v>260</v>
      </c>
      <c r="BI170" s="21">
        <f t="shared" si="385"/>
        <v>1</v>
      </c>
      <c r="BJ170" s="21">
        <f t="shared" si="386"/>
        <v>2</v>
      </c>
      <c r="BK170" s="21">
        <f t="shared" si="387"/>
        <v>0</v>
      </c>
      <c r="BL170" s="21">
        <f t="shared" si="413"/>
        <v>2</v>
      </c>
      <c r="BM170" s="21">
        <f t="shared" si="414"/>
        <v>0</v>
      </c>
      <c r="BN170" s="21">
        <f t="shared" si="415"/>
        <v>0</v>
      </c>
    </row>
    <row r="171" spans="1:66" x14ac:dyDescent="0.3">
      <c r="A171" s="5" t="str">
        <f t="shared" si="322"/>
        <v/>
      </c>
    </row>
    <row r="172" spans="1:66" x14ac:dyDescent="0.3">
      <c r="A172" s="5" t="str">
        <f t="shared" si="322"/>
        <v/>
      </c>
    </row>
    <row r="173" spans="1:66" x14ac:dyDescent="0.3">
      <c r="A173" s="5" t="str">
        <f t="shared" si="322"/>
        <v/>
      </c>
    </row>
    <row r="174" spans="1:66" x14ac:dyDescent="0.3">
      <c r="A174" s="5" t="str">
        <f t="shared" si="322"/>
        <v/>
      </c>
    </row>
    <row r="175" spans="1:66" x14ac:dyDescent="0.3">
      <c r="A175" s="5" t="str">
        <f t="shared" si="322"/>
        <v/>
      </c>
    </row>
    <row r="176" spans="1:66" x14ac:dyDescent="0.3">
      <c r="A176" s="5" t="str">
        <f t="shared" si="322"/>
        <v/>
      </c>
    </row>
    <row r="177" spans="1:1" x14ac:dyDescent="0.3">
      <c r="A177" s="5" t="str">
        <f t="shared" si="322"/>
        <v/>
      </c>
    </row>
    <row r="178" spans="1:1" x14ac:dyDescent="0.3">
      <c r="A178" s="5" t="str">
        <f t="shared" si="322"/>
        <v/>
      </c>
    </row>
    <row r="179" spans="1:1" x14ac:dyDescent="0.3">
      <c r="A179" s="5" t="str">
        <f t="shared" si="322"/>
        <v/>
      </c>
    </row>
    <row r="180" spans="1:1" x14ac:dyDescent="0.3">
      <c r="A180" s="5" t="str">
        <f t="shared" si="322"/>
        <v/>
      </c>
    </row>
    <row r="181" spans="1:1" x14ac:dyDescent="0.3">
      <c r="A181" s="5" t="str">
        <f t="shared" si="322"/>
        <v/>
      </c>
    </row>
    <row r="182" spans="1:1" x14ac:dyDescent="0.3">
      <c r="A182" s="5" t="str">
        <f t="shared" si="322"/>
        <v/>
      </c>
    </row>
    <row r="183" spans="1:1" x14ac:dyDescent="0.3">
      <c r="A183" s="5" t="str">
        <f t="shared" si="322"/>
        <v/>
      </c>
    </row>
    <row r="184" spans="1:1" x14ac:dyDescent="0.3">
      <c r="A184" s="5" t="str">
        <f t="shared" si="322"/>
        <v/>
      </c>
    </row>
    <row r="185" spans="1:1" x14ac:dyDescent="0.3">
      <c r="A185" s="5" t="str">
        <f t="shared" si="322"/>
        <v/>
      </c>
    </row>
    <row r="186" spans="1:1" x14ac:dyDescent="0.3">
      <c r="A186" s="5" t="str">
        <f t="shared" si="322"/>
        <v/>
      </c>
    </row>
    <row r="187" spans="1:1" x14ac:dyDescent="0.3">
      <c r="A187" s="5" t="str">
        <f t="shared" si="322"/>
        <v/>
      </c>
    </row>
    <row r="188" spans="1:1" x14ac:dyDescent="0.3">
      <c r="A188" s="5" t="str">
        <f t="shared" si="322"/>
        <v/>
      </c>
    </row>
    <row r="189" spans="1:1" x14ac:dyDescent="0.3">
      <c r="A189" s="5" t="str">
        <f t="shared" si="322"/>
        <v/>
      </c>
    </row>
    <row r="190" spans="1:1" x14ac:dyDescent="0.3">
      <c r="A190" s="5" t="str">
        <f t="shared" si="322"/>
        <v/>
      </c>
    </row>
    <row r="191" spans="1:1" x14ac:dyDescent="0.3">
      <c r="A191" s="5" t="str">
        <f t="shared" si="322"/>
        <v/>
      </c>
    </row>
    <row r="192" spans="1:1" x14ac:dyDescent="0.3">
      <c r="A192" s="5" t="str">
        <f t="shared" si="322"/>
        <v/>
      </c>
    </row>
    <row r="193" spans="1:1" x14ac:dyDescent="0.3">
      <c r="A193" s="5" t="str">
        <f t="shared" si="322"/>
        <v/>
      </c>
    </row>
    <row r="194" spans="1:1" x14ac:dyDescent="0.3">
      <c r="A194" s="5" t="str">
        <f t="shared" si="322"/>
        <v/>
      </c>
    </row>
    <row r="195" spans="1:1" x14ac:dyDescent="0.3">
      <c r="A195" s="5" t="str">
        <f t="shared" ref="A195:A236" si="417">IF(B195="","","1")</f>
        <v/>
      </c>
    </row>
    <row r="196" spans="1:1" x14ac:dyDescent="0.3">
      <c r="A196" s="5" t="str">
        <f t="shared" si="417"/>
        <v/>
      </c>
    </row>
    <row r="197" spans="1:1" x14ac:dyDescent="0.3">
      <c r="A197" s="5" t="str">
        <f t="shared" si="417"/>
        <v/>
      </c>
    </row>
    <row r="198" spans="1:1" x14ac:dyDescent="0.3">
      <c r="A198" s="5" t="str">
        <f t="shared" si="417"/>
        <v/>
      </c>
    </row>
    <row r="199" spans="1:1" x14ac:dyDescent="0.3">
      <c r="A199" s="5" t="str">
        <f t="shared" si="417"/>
        <v/>
      </c>
    </row>
    <row r="200" spans="1:1" x14ac:dyDescent="0.3">
      <c r="A200" s="5" t="str">
        <f t="shared" si="417"/>
        <v/>
      </c>
    </row>
    <row r="201" spans="1:1" x14ac:dyDescent="0.3">
      <c r="A201" s="5" t="str">
        <f t="shared" si="417"/>
        <v/>
      </c>
    </row>
    <row r="202" spans="1:1" x14ac:dyDescent="0.3">
      <c r="A202" s="5" t="str">
        <f t="shared" si="417"/>
        <v/>
      </c>
    </row>
    <row r="203" spans="1:1" x14ac:dyDescent="0.3">
      <c r="A203" s="5" t="str">
        <f t="shared" si="417"/>
        <v/>
      </c>
    </row>
    <row r="204" spans="1:1" x14ac:dyDescent="0.3">
      <c r="A204" s="5" t="str">
        <f t="shared" si="417"/>
        <v/>
      </c>
    </row>
    <row r="205" spans="1:1" x14ac:dyDescent="0.3">
      <c r="A205" s="5" t="str">
        <f t="shared" si="417"/>
        <v/>
      </c>
    </row>
    <row r="206" spans="1:1" x14ac:dyDescent="0.3">
      <c r="A206" s="5" t="str">
        <f t="shared" si="417"/>
        <v/>
      </c>
    </row>
    <row r="207" spans="1:1" x14ac:dyDescent="0.3">
      <c r="A207" s="5" t="str">
        <f t="shared" si="417"/>
        <v/>
      </c>
    </row>
    <row r="208" spans="1:1" x14ac:dyDescent="0.3">
      <c r="A208" s="5" t="str">
        <f t="shared" si="417"/>
        <v/>
      </c>
    </row>
    <row r="209" spans="1:1" x14ac:dyDescent="0.3">
      <c r="A209" s="5" t="str">
        <f t="shared" si="417"/>
        <v/>
      </c>
    </row>
    <row r="210" spans="1:1" x14ac:dyDescent="0.3">
      <c r="A210" s="5" t="str">
        <f t="shared" si="417"/>
        <v/>
      </c>
    </row>
    <row r="211" spans="1:1" x14ac:dyDescent="0.3">
      <c r="A211" s="5" t="str">
        <f t="shared" si="417"/>
        <v/>
      </c>
    </row>
    <row r="212" spans="1:1" x14ac:dyDescent="0.3">
      <c r="A212" s="5" t="str">
        <f t="shared" si="417"/>
        <v/>
      </c>
    </row>
    <row r="213" spans="1:1" x14ac:dyDescent="0.3">
      <c r="A213" s="5" t="str">
        <f t="shared" si="417"/>
        <v/>
      </c>
    </row>
    <row r="214" spans="1:1" x14ac:dyDescent="0.3">
      <c r="A214" s="5" t="str">
        <f t="shared" si="417"/>
        <v/>
      </c>
    </row>
    <row r="215" spans="1:1" x14ac:dyDescent="0.3">
      <c r="A215" s="5" t="str">
        <f t="shared" si="417"/>
        <v/>
      </c>
    </row>
    <row r="216" spans="1:1" x14ac:dyDescent="0.3">
      <c r="A216" s="5" t="str">
        <f t="shared" si="417"/>
        <v/>
      </c>
    </row>
    <row r="217" spans="1:1" x14ac:dyDescent="0.3">
      <c r="A217" s="5" t="str">
        <f t="shared" si="417"/>
        <v/>
      </c>
    </row>
    <row r="218" spans="1:1" x14ac:dyDescent="0.3">
      <c r="A218" s="5" t="str">
        <f t="shared" si="417"/>
        <v/>
      </c>
    </row>
    <row r="219" spans="1:1" x14ac:dyDescent="0.3">
      <c r="A219" s="5" t="str">
        <f t="shared" si="417"/>
        <v/>
      </c>
    </row>
    <row r="220" spans="1:1" x14ac:dyDescent="0.3">
      <c r="A220" s="5" t="str">
        <f t="shared" si="417"/>
        <v/>
      </c>
    </row>
    <row r="221" spans="1:1" x14ac:dyDescent="0.3">
      <c r="A221" s="5" t="str">
        <f t="shared" si="417"/>
        <v/>
      </c>
    </row>
    <row r="222" spans="1:1" x14ac:dyDescent="0.3">
      <c r="A222" s="5" t="str">
        <f t="shared" si="417"/>
        <v/>
      </c>
    </row>
    <row r="223" spans="1:1" x14ac:dyDescent="0.3">
      <c r="A223" s="5" t="str">
        <f t="shared" si="417"/>
        <v/>
      </c>
    </row>
    <row r="224" spans="1:1" x14ac:dyDescent="0.3">
      <c r="A224" s="5" t="str">
        <f t="shared" si="417"/>
        <v/>
      </c>
    </row>
    <row r="225" spans="1:1" x14ac:dyDescent="0.3">
      <c r="A225" s="5" t="str">
        <f t="shared" si="417"/>
        <v/>
      </c>
    </row>
    <row r="226" spans="1:1" x14ac:dyDescent="0.3">
      <c r="A226" s="5" t="str">
        <f t="shared" si="417"/>
        <v/>
      </c>
    </row>
    <row r="227" spans="1:1" x14ac:dyDescent="0.3">
      <c r="A227" s="5" t="str">
        <f t="shared" si="417"/>
        <v/>
      </c>
    </row>
    <row r="228" spans="1:1" x14ac:dyDescent="0.3">
      <c r="A228" s="5" t="str">
        <f t="shared" si="417"/>
        <v/>
      </c>
    </row>
    <row r="229" spans="1:1" x14ac:dyDescent="0.3">
      <c r="A229" s="5" t="str">
        <f t="shared" si="417"/>
        <v/>
      </c>
    </row>
    <row r="230" spans="1:1" x14ac:dyDescent="0.3">
      <c r="A230" s="5" t="str">
        <f t="shared" si="417"/>
        <v/>
      </c>
    </row>
    <row r="231" spans="1:1" x14ac:dyDescent="0.3">
      <c r="A231" s="5" t="str">
        <f t="shared" si="417"/>
        <v/>
      </c>
    </row>
    <row r="232" spans="1:1" x14ac:dyDescent="0.3">
      <c r="A232" s="5" t="str">
        <f t="shared" si="417"/>
        <v/>
      </c>
    </row>
    <row r="233" spans="1:1" x14ac:dyDescent="0.3">
      <c r="A233" s="5" t="str">
        <f t="shared" si="417"/>
        <v/>
      </c>
    </row>
    <row r="234" spans="1:1" x14ac:dyDescent="0.3">
      <c r="A234" s="5" t="str">
        <f t="shared" si="417"/>
        <v/>
      </c>
    </row>
    <row r="235" spans="1:1" x14ac:dyDescent="0.3">
      <c r="A235" s="5" t="str">
        <f t="shared" si="417"/>
        <v/>
      </c>
    </row>
    <row r="236" spans="1:1" x14ac:dyDescent="0.3">
      <c r="A236" s="5" t="str">
        <f t="shared" si="417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22668-0A20-43E0-AE4F-A8A4C4C6DAF4}">
  <dimension ref="A1:BN91"/>
  <sheetViews>
    <sheetView workbookViewId="0">
      <selection activeCell="D16" sqref="D16"/>
    </sheetView>
  </sheetViews>
  <sheetFormatPr defaultRowHeight="14.4" x14ac:dyDescent="0.3"/>
  <cols>
    <col min="1" max="1" width="5.77734375" style="2" customWidth="1"/>
    <col min="2" max="2" width="5.33203125" style="2" bestFit="1" customWidth="1"/>
    <col min="3" max="3" width="9" style="2" bestFit="1" customWidth="1"/>
    <col min="4" max="4" width="34.88671875" style="2" bestFit="1" customWidth="1"/>
    <col min="5" max="5" width="8.21875" style="3" bestFit="1" customWidth="1"/>
    <col min="6" max="6" width="8.88671875" style="3" bestFit="1" customWidth="1"/>
    <col min="7" max="7" width="8.5546875" style="3" bestFit="1" customWidth="1"/>
    <col min="8" max="8" width="8.33203125" style="3" bestFit="1" customWidth="1"/>
    <col min="9" max="9" width="5.6640625" style="3" bestFit="1" customWidth="1"/>
    <col min="10" max="10" width="5" style="3" bestFit="1" customWidth="1"/>
    <col min="11" max="11" width="4.109375" style="3" bestFit="1" customWidth="1"/>
    <col min="12" max="12" width="23.5546875" style="25" bestFit="1" customWidth="1"/>
    <col min="13" max="15" width="10.44140625" style="3" bestFit="1" customWidth="1"/>
    <col min="16" max="16" width="6.88671875" style="3" bestFit="1" customWidth="1"/>
    <col min="17" max="17" width="7.5546875" style="3" bestFit="1" customWidth="1"/>
    <col min="18" max="18" width="7.21875" style="3" bestFit="1" customWidth="1"/>
    <col min="19" max="19" width="6.33203125" style="3" bestFit="1" customWidth="1"/>
    <col min="20" max="20" width="6.21875" style="3" bestFit="1" customWidth="1"/>
    <col min="21" max="21" width="5.5546875" style="3" bestFit="1" customWidth="1"/>
    <col min="22" max="24" width="10.44140625" style="3" bestFit="1" customWidth="1"/>
    <col min="25" max="25" width="6.88671875" style="3" bestFit="1" customWidth="1"/>
    <col min="26" max="26" width="7.5546875" style="3" bestFit="1" customWidth="1"/>
    <col min="27" max="27" width="7.21875" style="3" bestFit="1" customWidth="1"/>
    <col min="28" max="28" width="6.33203125" style="3" bestFit="1" customWidth="1"/>
    <col min="29" max="29" width="6.21875" style="3" bestFit="1" customWidth="1"/>
    <col min="30" max="30" width="5.5546875" style="3" bestFit="1" customWidth="1"/>
    <col min="31" max="33" width="10.44140625" style="3" bestFit="1" customWidth="1"/>
    <col min="34" max="34" width="6.88671875" style="3" bestFit="1" customWidth="1"/>
    <col min="35" max="35" width="7.5546875" style="3" bestFit="1" customWidth="1"/>
    <col min="36" max="36" width="7.21875" style="3" bestFit="1" customWidth="1"/>
    <col min="37" max="37" width="6.33203125" style="3" bestFit="1" customWidth="1"/>
    <col min="38" max="38" width="6.21875" style="3" bestFit="1" customWidth="1"/>
    <col min="39" max="39" width="5.5546875" style="3" bestFit="1" customWidth="1"/>
    <col min="40" max="42" width="10.44140625" style="3" bestFit="1" customWidth="1"/>
    <col min="43" max="43" width="6.88671875" style="3" bestFit="1" customWidth="1"/>
    <col min="44" max="44" width="7.5546875" style="3" bestFit="1" customWidth="1"/>
    <col min="45" max="45" width="7.21875" style="3" bestFit="1" customWidth="1"/>
    <col min="46" max="46" width="6.33203125" style="3" bestFit="1" customWidth="1"/>
    <col min="47" max="47" width="6.21875" style="3" bestFit="1" customWidth="1"/>
    <col min="48" max="48" width="5.5546875" style="3" bestFit="1" customWidth="1"/>
    <col min="49" max="51" width="10.44140625" style="3" bestFit="1" customWidth="1"/>
    <col min="52" max="52" width="6.88671875" style="3" bestFit="1" customWidth="1"/>
    <col min="53" max="53" width="7.5546875" style="3" bestFit="1" customWidth="1"/>
    <col min="54" max="54" width="7.21875" style="3" bestFit="1" customWidth="1"/>
    <col min="55" max="55" width="6.33203125" style="3" bestFit="1" customWidth="1"/>
    <col min="56" max="56" width="6.21875" style="3" bestFit="1" customWidth="1"/>
    <col min="57" max="57" width="5.5546875" style="3" bestFit="1" customWidth="1"/>
    <col min="58" max="60" width="10.44140625" style="3" bestFit="1" customWidth="1"/>
    <col min="61" max="61" width="6.88671875" style="3" bestFit="1" customWidth="1"/>
    <col min="62" max="62" width="7.5546875" style="3" bestFit="1" customWidth="1"/>
    <col min="63" max="63" width="7.21875" style="3" bestFit="1" customWidth="1"/>
    <col min="64" max="64" width="6.33203125" style="3" bestFit="1" customWidth="1"/>
    <col min="65" max="65" width="6.21875" style="3" bestFit="1" customWidth="1"/>
    <col min="66" max="66" width="5.5546875" style="3" bestFit="1" customWidth="1"/>
  </cols>
  <sheetData>
    <row r="1" spans="1:66" s="12" customFormat="1" ht="30" customHeight="1" x14ac:dyDescent="0.3">
      <c r="A1" s="12" t="str" cm="1">
        <f t="array" ref="A1:BN91">_xlfn._xlws.FILTER('RFQ &amp; Orientation'!A1:BN236,'RFQ &amp; Orientation'!A1:A236="1")</f>
        <v>1</v>
      </c>
      <c r="B1" s="12" t="str">
        <v>Sr No</v>
      </c>
      <c r="C1" s="12" t="str">
        <v>Part Code</v>
      </c>
      <c r="D1" s="12" t="str">
        <v>Item Description</v>
      </c>
      <c r="E1" s="11" t="str">
        <v>Part Size (mm)      L</v>
      </c>
      <c r="F1" s="11" t="str">
        <v>Part Size (mm)      W</v>
      </c>
      <c r="G1" s="11" t="str">
        <v>Part Size (mm)      H</v>
      </c>
      <c r="H1" s="11" t="str">
        <v>Per Layer Qty</v>
      </c>
      <c r="I1" s="11" t="str">
        <v>Layer / GLT</v>
      </c>
      <c r="J1" s="11" t="str">
        <v>Qty / GLT</v>
      </c>
      <c r="K1" s="11" t="str">
        <v>Qty Req</v>
      </c>
      <c r="L1" s="24" t="str">
        <v>Equipment Orientation Selection</v>
      </c>
      <c r="M1" s="11" t="str">
        <v>LXL - GLT Size ID(mm)</v>
      </c>
      <c r="N1" s="11" t="str">
        <v>LXL - GLT Size ID(mm)</v>
      </c>
      <c r="O1" s="11" t="str">
        <v>LXL - GLT Size ID(mm)</v>
      </c>
      <c r="P1" s="11" t="str">
        <v>LXL - Packet Array  L</v>
      </c>
      <c r="Q1" s="11" t="str">
        <v>LXL - Packet Array  W</v>
      </c>
      <c r="R1" s="11" t="str">
        <v>LXL - Packet Array  H</v>
      </c>
      <c r="S1" s="11" t="str">
        <v>LXL - Parts / Layer</v>
      </c>
      <c r="T1" s="11" t="str">
        <v>LXL - Layers / GLT</v>
      </c>
      <c r="U1" s="11" t="str">
        <v>LXL - Parts / GLT</v>
      </c>
      <c r="V1" s="11" t="str">
        <v>LxW - GLT Size ID(mm)</v>
      </c>
      <c r="W1" s="11" t="str">
        <v>LxW - GLT Size ID(mm)</v>
      </c>
      <c r="X1" s="11" t="str">
        <v>LxW - GLT Size ID(mm)</v>
      </c>
      <c r="Y1" s="11" t="str">
        <v>LxW - Packet Array  L</v>
      </c>
      <c r="Z1" s="11" t="str">
        <v>LxW - Packet Array  W</v>
      </c>
      <c r="AA1" s="11" t="str">
        <v>LxW - Packet Array  H</v>
      </c>
      <c r="AB1" s="11" t="str">
        <v>LxW - Parts / Layer</v>
      </c>
      <c r="AC1" s="11" t="str">
        <v>LxW - Layers / GLT</v>
      </c>
      <c r="AD1" s="11" t="str">
        <v>LxW - Parts / GLT</v>
      </c>
      <c r="AE1" s="11" t="str">
        <v>LxH - GLT Size ID(mm)</v>
      </c>
      <c r="AF1" s="11" t="str">
        <v>LxH - GLT Size ID(mm)</v>
      </c>
      <c r="AG1" s="11" t="str">
        <v>LxH - GLT Size ID(mm)</v>
      </c>
      <c r="AH1" s="11" t="str">
        <v>LxH - Packet Array  L</v>
      </c>
      <c r="AI1" s="11" t="str">
        <v>LxH - Packet Array  W</v>
      </c>
      <c r="AJ1" s="11" t="str">
        <v>LxH - Packet Array  H</v>
      </c>
      <c r="AK1" s="11" t="str">
        <v>LxH - Parts / Layer</v>
      </c>
      <c r="AL1" s="11" t="str">
        <v>LxH - Layers / GLT</v>
      </c>
      <c r="AM1" s="11" t="str">
        <v>LxH - Parts / GLT</v>
      </c>
      <c r="AN1" s="11" t="str">
        <v>WXW - GLT Size ID(mm)</v>
      </c>
      <c r="AO1" s="11" t="str">
        <v>WXW - GLT Size ID(mm)</v>
      </c>
      <c r="AP1" s="11" t="str">
        <v>WXW - GLT Size ID(mm)</v>
      </c>
      <c r="AQ1" s="11" t="str">
        <v>WXW - Packet Array  L</v>
      </c>
      <c r="AR1" s="11" t="str">
        <v>WXW - Packet Array  W</v>
      </c>
      <c r="AS1" s="11" t="str">
        <v>WXW - Packet Array  H</v>
      </c>
      <c r="AT1" s="11" t="str">
        <v>WXW - Parts / Layer</v>
      </c>
      <c r="AU1" s="11" t="str">
        <v>WXW - Layers / GLT</v>
      </c>
      <c r="AV1" s="11" t="str">
        <v>WXW - Parts / GLT</v>
      </c>
      <c r="AW1" s="11" t="str">
        <v>WxH - GLT Size ID(mm)</v>
      </c>
      <c r="AX1" s="11" t="str">
        <v>WxH - GLT Size ID(mm)</v>
      </c>
      <c r="AY1" s="11" t="str">
        <v>WxH - GLT Size ID(mm)</v>
      </c>
      <c r="AZ1" s="11" t="str">
        <v>WxH - Packet Array  L</v>
      </c>
      <c r="BA1" s="11" t="str">
        <v>WxH - Packet Array  W</v>
      </c>
      <c r="BB1" s="11" t="str">
        <v>WxH - Packet Array  H</v>
      </c>
      <c r="BC1" s="11" t="str">
        <v>WxH - Parts / Layer</v>
      </c>
      <c r="BD1" s="11" t="str">
        <v>WxH - Layers / GLT</v>
      </c>
      <c r="BE1" s="11" t="str">
        <v>WxH - Parts / GLT</v>
      </c>
      <c r="BF1" s="11" t="str">
        <v>HxW - GLT Size ID(mm)</v>
      </c>
      <c r="BG1" s="11" t="str">
        <v>HxW - GLT Size ID(mm)</v>
      </c>
      <c r="BH1" s="11" t="str">
        <v>HxW - GLT Size ID(mm)</v>
      </c>
      <c r="BI1" s="11" t="str">
        <v>HxW - Packet Array  L</v>
      </c>
      <c r="BJ1" s="11" t="str">
        <v>HxW - Packet Array  W</v>
      </c>
      <c r="BK1" s="11" t="str">
        <v>HxW - Packet Array  H</v>
      </c>
      <c r="BL1" s="11" t="str">
        <v>HxW - Parts / Layer</v>
      </c>
      <c r="BM1" s="11" t="str">
        <v>HxW - Layers / GLT</v>
      </c>
      <c r="BN1" s="11" t="str">
        <v>HxW - Parts / GLT</v>
      </c>
    </row>
    <row r="2" spans="1:66" x14ac:dyDescent="0.3">
      <c r="A2" s="2" t="str">
        <v>1</v>
      </c>
      <c r="B2" s="2">
        <v>1</v>
      </c>
      <c r="C2" s="2">
        <v>14007834</v>
      </c>
      <c r="D2" s="2" t="str">
        <v>2.0_M_CENTER BEZEL PREMIUM ASSY</v>
      </c>
      <c r="E2" s="3">
        <v>274</v>
      </c>
      <c r="F2" s="3">
        <v>76</v>
      </c>
      <c r="G2" s="3">
        <v>620</v>
      </c>
      <c r="H2" s="3">
        <v>44</v>
      </c>
      <c r="I2" s="3">
        <v>1</v>
      </c>
      <c r="J2" s="3">
        <v>44</v>
      </c>
      <c r="K2" s="3">
        <v>80</v>
      </c>
      <c r="L2" s="25" t="str">
        <v>FLC ( 1200 x 1000 x 800) mm</v>
      </c>
      <c r="M2" s="3">
        <v>1120</v>
      </c>
      <c r="N2" s="3">
        <v>920</v>
      </c>
      <c r="O2" s="3">
        <v>640</v>
      </c>
      <c r="P2" s="3">
        <v>4</v>
      </c>
      <c r="Q2" s="3">
        <v>11</v>
      </c>
      <c r="R2" s="3">
        <v>1</v>
      </c>
      <c r="S2" s="3">
        <v>44</v>
      </c>
      <c r="T2" s="3">
        <v>1</v>
      </c>
      <c r="U2" s="3">
        <v>44</v>
      </c>
      <c r="V2" s="3">
        <v>920</v>
      </c>
      <c r="W2" s="3">
        <v>1120</v>
      </c>
      <c r="X2" s="3">
        <v>640</v>
      </c>
      <c r="Y2" s="3">
        <v>3</v>
      </c>
      <c r="Z2" s="3">
        <v>13</v>
      </c>
      <c r="AA2" s="3">
        <v>1</v>
      </c>
      <c r="AB2" s="3">
        <v>39</v>
      </c>
      <c r="AC2" s="3">
        <v>1</v>
      </c>
      <c r="AD2" s="3">
        <v>39</v>
      </c>
      <c r="AE2" s="3">
        <v>640</v>
      </c>
      <c r="AF2" s="3">
        <v>1120</v>
      </c>
      <c r="AG2" s="3">
        <v>920</v>
      </c>
      <c r="AH2" s="3">
        <v>2</v>
      </c>
      <c r="AI2" s="3">
        <v>13</v>
      </c>
      <c r="AJ2" s="3">
        <v>1</v>
      </c>
      <c r="AK2" s="3">
        <v>26</v>
      </c>
      <c r="AL2" s="3">
        <v>1</v>
      </c>
      <c r="AM2" s="3">
        <v>26</v>
      </c>
      <c r="AN2" s="3">
        <v>640</v>
      </c>
      <c r="AO2" s="3">
        <v>920</v>
      </c>
      <c r="AP2" s="3">
        <v>1120</v>
      </c>
      <c r="AQ2" s="3">
        <v>2</v>
      </c>
      <c r="AR2" s="3">
        <v>11</v>
      </c>
      <c r="AS2" s="3">
        <v>1</v>
      </c>
      <c r="AT2" s="3">
        <v>22</v>
      </c>
      <c r="AU2" s="3">
        <v>1</v>
      </c>
      <c r="AV2" s="3">
        <v>22</v>
      </c>
      <c r="AW2" s="3">
        <v>920</v>
      </c>
      <c r="AX2" s="3">
        <v>640</v>
      </c>
      <c r="AY2" s="3">
        <v>1120</v>
      </c>
      <c r="AZ2" s="3">
        <v>3</v>
      </c>
      <c r="BA2" s="3">
        <v>7</v>
      </c>
      <c r="BB2" s="3">
        <v>1</v>
      </c>
      <c r="BC2" s="3">
        <v>21</v>
      </c>
      <c r="BD2" s="3">
        <v>1</v>
      </c>
      <c r="BE2" s="3">
        <v>21</v>
      </c>
      <c r="BF2" s="3">
        <v>1120</v>
      </c>
      <c r="BG2" s="3">
        <v>640</v>
      </c>
      <c r="BH2" s="3">
        <v>920</v>
      </c>
      <c r="BI2" s="3">
        <v>4</v>
      </c>
      <c r="BJ2" s="3">
        <v>7</v>
      </c>
      <c r="BK2" s="3">
        <v>1</v>
      </c>
      <c r="BL2" s="3">
        <v>28</v>
      </c>
      <c r="BM2" s="3">
        <v>1</v>
      </c>
      <c r="BN2" s="3">
        <v>28</v>
      </c>
    </row>
    <row r="3" spans="1:66" x14ac:dyDescent="0.3">
      <c r="A3" s="2" t="str">
        <v>1</v>
      </c>
      <c r="B3" s="2">
        <v>2</v>
      </c>
      <c r="C3" s="2">
        <v>14007835</v>
      </c>
      <c r="D3" s="2" t="str">
        <v>SHROUD UPPER</v>
      </c>
      <c r="E3" s="3">
        <v>225</v>
      </c>
      <c r="F3" s="3">
        <v>125</v>
      </c>
      <c r="G3" s="3">
        <v>190</v>
      </c>
      <c r="H3" s="3">
        <v>96</v>
      </c>
      <c r="I3" s="3">
        <v>2</v>
      </c>
      <c r="J3" s="3">
        <v>192</v>
      </c>
      <c r="K3" s="3">
        <v>18</v>
      </c>
      <c r="L3" s="25" t="str">
        <v>FLC ( 1200 x 1000 x 800) mm</v>
      </c>
      <c r="M3" s="3">
        <v>1120</v>
      </c>
      <c r="N3" s="3">
        <v>920</v>
      </c>
      <c r="O3" s="3">
        <v>640</v>
      </c>
      <c r="P3" s="3">
        <v>4</v>
      </c>
      <c r="Q3" s="3">
        <v>7</v>
      </c>
      <c r="R3" s="3">
        <v>3</v>
      </c>
      <c r="S3" s="3">
        <v>28</v>
      </c>
      <c r="T3" s="3">
        <v>3</v>
      </c>
      <c r="U3" s="3">
        <v>84</v>
      </c>
      <c r="V3" s="3">
        <v>920</v>
      </c>
      <c r="W3" s="3">
        <v>1120</v>
      </c>
      <c r="X3" s="3">
        <v>640</v>
      </c>
      <c r="Y3" s="3">
        <v>4</v>
      </c>
      <c r="Z3" s="3">
        <v>8</v>
      </c>
      <c r="AA3" s="3">
        <v>3</v>
      </c>
      <c r="AB3" s="3">
        <v>32</v>
      </c>
      <c r="AC3" s="3">
        <v>3</v>
      </c>
      <c r="AD3" s="3">
        <v>96</v>
      </c>
      <c r="AE3" s="3">
        <v>640</v>
      </c>
      <c r="AF3" s="3">
        <v>1120</v>
      </c>
      <c r="AG3" s="3">
        <v>920</v>
      </c>
      <c r="AH3" s="3">
        <v>2</v>
      </c>
      <c r="AI3" s="3">
        <v>8</v>
      </c>
      <c r="AJ3" s="3">
        <v>4</v>
      </c>
      <c r="AK3" s="3">
        <v>16</v>
      </c>
      <c r="AL3" s="3">
        <v>4</v>
      </c>
      <c r="AM3" s="3">
        <v>64</v>
      </c>
      <c r="AN3" s="3">
        <v>640</v>
      </c>
      <c r="AO3" s="3">
        <v>920</v>
      </c>
      <c r="AP3" s="3">
        <v>1120</v>
      </c>
      <c r="AQ3" s="3">
        <v>2</v>
      </c>
      <c r="AR3" s="3">
        <v>7</v>
      </c>
      <c r="AS3" s="3">
        <v>5</v>
      </c>
      <c r="AT3" s="3">
        <v>14</v>
      </c>
      <c r="AU3" s="3">
        <v>5</v>
      </c>
      <c r="AV3" s="3">
        <v>70</v>
      </c>
      <c r="AW3" s="3">
        <v>920</v>
      </c>
      <c r="AX3" s="3">
        <v>640</v>
      </c>
      <c r="AY3" s="3">
        <v>1120</v>
      </c>
      <c r="AZ3" s="3">
        <v>4</v>
      </c>
      <c r="BA3" s="3">
        <v>4</v>
      </c>
      <c r="BB3" s="3">
        <v>5</v>
      </c>
      <c r="BC3" s="3">
        <v>16</v>
      </c>
      <c r="BD3" s="3">
        <v>5</v>
      </c>
      <c r="BE3" s="3">
        <v>80</v>
      </c>
      <c r="BF3" s="3">
        <v>1120</v>
      </c>
      <c r="BG3" s="3">
        <v>640</v>
      </c>
      <c r="BH3" s="3">
        <v>920</v>
      </c>
      <c r="BI3" s="3">
        <v>4</v>
      </c>
      <c r="BJ3" s="3">
        <v>4</v>
      </c>
      <c r="BK3" s="3">
        <v>4</v>
      </c>
      <c r="BL3" s="3">
        <v>16</v>
      </c>
      <c r="BM3" s="3">
        <v>4</v>
      </c>
      <c r="BN3" s="3">
        <v>64</v>
      </c>
    </row>
    <row r="4" spans="1:66" x14ac:dyDescent="0.3">
      <c r="A4" s="2" t="str">
        <v>1</v>
      </c>
      <c r="B4" s="2">
        <v>3</v>
      </c>
      <c r="C4" s="2">
        <v>14007836</v>
      </c>
      <c r="D4" s="2" t="str">
        <v>SHROUD LOWER</v>
      </c>
      <c r="E4" s="3">
        <v>435</v>
      </c>
      <c r="F4" s="3">
        <v>100</v>
      </c>
      <c r="G4" s="3">
        <v>210</v>
      </c>
      <c r="H4" s="3">
        <v>48</v>
      </c>
      <c r="I4" s="3">
        <v>1</v>
      </c>
      <c r="J4" s="3">
        <v>48</v>
      </c>
      <c r="K4" s="3">
        <v>75</v>
      </c>
      <c r="L4" s="25" t="str">
        <v>FLC ( 1200 x 1000 x 800) mm</v>
      </c>
      <c r="M4" s="3">
        <v>1120</v>
      </c>
      <c r="N4" s="3">
        <v>920</v>
      </c>
      <c r="O4" s="3">
        <v>640</v>
      </c>
      <c r="P4" s="3">
        <v>2</v>
      </c>
      <c r="Q4" s="3">
        <v>8</v>
      </c>
      <c r="R4" s="3">
        <v>2</v>
      </c>
      <c r="S4" s="3">
        <v>16</v>
      </c>
      <c r="T4" s="3">
        <v>2</v>
      </c>
      <c r="U4" s="3">
        <v>32</v>
      </c>
      <c r="V4" s="3">
        <v>920</v>
      </c>
      <c r="W4" s="3">
        <v>1120</v>
      </c>
      <c r="X4" s="3">
        <v>640</v>
      </c>
      <c r="Y4" s="3">
        <v>2</v>
      </c>
      <c r="Z4" s="3">
        <v>10</v>
      </c>
      <c r="AA4" s="3">
        <v>2</v>
      </c>
      <c r="AB4" s="3">
        <v>20</v>
      </c>
      <c r="AC4" s="3">
        <v>2</v>
      </c>
      <c r="AD4" s="3">
        <v>40</v>
      </c>
      <c r="AE4" s="3">
        <v>640</v>
      </c>
      <c r="AF4" s="3">
        <v>1120</v>
      </c>
      <c r="AG4" s="3">
        <v>920</v>
      </c>
      <c r="AH4" s="3">
        <v>1</v>
      </c>
      <c r="AI4" s="3">
        <v>10</v>
      </c>
      <c r="AJ4" s="3">
        <v>4</v>
      </c>
      <c r="AK4" s="3">
        <v>10</v>
      </c>
      <c r="AL4" s="3">
        <v>4</v>
      </c>
      <c r="AM4" s="3">
        <v>40</v>
      </c>
      <c r="AN4" s="3">
        <v>640</v>
      </c>
      <c r="AO4" s="3">
        <v>920</v>
      </c>
      <c r="AP4" s="3">
        <v>1120</v>
      </c>
      <c r="AQ4" s="3">
        <v>1</v>
      </c>
      <c r="AR4" s="3">
        <v>8</v>
      </c>
      <c r="AS4" s="3">
        <v>5</v>
      </c>
      <c r="AT4" s="3">
        <v>8</v>
      </c>
      <c r="AU4" s="3">
        <v>5</v>
      </c>
      <c r="AV4" s="3">
        <v>40</v>
      </c>
      <c r="AW4" s="3">
        <v>920</v>
      </c>
      <c r="AX4" s="3">
        <v>640</v>
      </c>
      <c r="AY4" s="3">
        <v>1120</v>
      </c>
      <c r="AZ4" s="3">
        <v>2</v>
      </c>
      <c r="BA4" s="3">
        <v>6</v>
      </c>
      <c r="BB4" s="3">
        <v>5</v>
      </c>
      <c r="BC4" s="3">
        <v>12</v>
      </c>
      <c r="BD4" s="3">
        <v>5</v>
      </c>
      <c r="BE4" s="3">
        <v>60</v>
      </c>
      <c r="BF4" s="3">
        <v>1120</v>
      </c>
      <c r="BG4" s="3">
        <v>640</v>
      </c>
      <c r="BH4" s="3">
        <v>920</v>
      </c>
      <c r="BI4" s="3">
        <v>2</v>
      </c>
      <c r="BJ4" s="3">
        <v>6</v>
      </c>
      <c r="BK4" s="3">
        <v>4</v>
      </c>
      <c r="BL4" s="3">
        <v>12</v>
      </c>
      <c r="BM4" s="3">
        <v>4</v>
      </c>
      <c r="BN4" s="3">
        <v>48</v>
      </c>
    </row>
    <row r="5" spans="1:66" x14ac:dyDescent="0.3">
      <c r="A5" s="2" t="str">
        <v>1</v>
      </c>
      <c r="B5" s="2">
        <v>4</v>
      </c>
      <c r="C5" s="2">
        <v>14007837</v>
      </c>
      <c r="D5" s="2" t="str">
        <v>CLUSTER BEZEL LOWER ASSY</v>
      </c>
      <c r="E5" s="3">
        <v>365</v>
      </c>
      <c r="F5" s="3">
        <v>63</v>
      </c>
      <c r="G5" s="3">
        <v>225</v>
      </c>
      <c r="H5" s="3">
        <v>96</v>
      </c>
      <c r="I5" s="3">
        <v>1</v>
      </c>
      <c r="J5" s="3">
        <v>96</v>
      </c>
      <c r="K5" s="3">
        <v>38</v>
      </c>
      <c r="L5" s="25" t="str">
        <v>FLC ( 1200 x 1000 x 800) mm</v>
      </c>
      <c r="M5" s="3">
        <v>1120</v>
      </c>
      <c r="N5" s="3">
        <v>920</v>
      </c>
      <c r="O5" s="3">
        <v>640</v>
      </c>
      <c r="P5" s="3">
        <v>3</v>
      </c>
      <c r="Q5" s="3">
        <v>13</v>
      </c>
      <c r="R5" s="3">
        <v>2</v>
      </c>
      <c r="S5" s="3">
        <v>39</v>
      </c>
      <c r="T5" s="3">
        <v>2</v>
      </c>
      <c r="U5" s="3">
        <v>78</v>
      </c>
      <c r="V5" s="3">
        <v>920</v>
      </c>
      <c r="W5" s="3">
        <v>1120</v>
      </c>
      <c r="X5" s="3">
        <v>640</v>
      </c>
      <c r="Y5" s="3">
        <v>2</v>
      </c>
      <c r="Z5" s="3">
        <v>16</v>
      </c>
      <c r="AA5" s="3">
        <v>2</v>
      </c>
      <c r="AB5" s="3">
        <v>32</v>
      </c>
      <c r="AC5" s="3">
        <v>2</v>
      </c>
      <c r="AD5" s="3">
        <v>64</v>
      </c>
      <c r="AE5" s="3">
        <v>640</v>
      </c>
      <c r="AF5" s="3">
        <v>1120</v>
      </c>
      <c r="AG5" s="3">
        <v>920</v>
      </c>
      <c r="AH5" s="3">
        <v>1</v>
      </c>
      <c r="AI5" s="3">
        <v>16</v>
      </c>
      <c r="AJ5" s="3">
        <v>4</v>
      </c>
      <c r="AK5" s="3">
        <v>16</v>
      </c>
      <c r="AL5" s="3">
        <v>4</v>
      </c>
      <c r="AM5" s="3">
        <v>64</v>
      </c>
      <c r="AN5" s="3">
        <v>640</v>
      </c>
      <c r="AO5" s="3">
        <v>920</v>
      </c>
      <c r="AP5" s="3">
        <v>1120</v>
      </c>
      <c r="AQ5" s="3">
        <v>1</v>
      </c>
      <c r="AR5" s="3">
        <v>13</v>
      </c>
      <c r="AS5" s="3">
        <v>4</v>
      </c>
      <c r="AT5" s="3">
        <v>13</v>
      </c>
      <c r="AU5" s="3">
        <v>4</v>
      </c>
      <c r="AV5" s="3">
        <v>52</v>
      </c>
      <c r="AW5" s="3">
        <v>920</v>
      </c>
      <c r="AX5" s="3">
        <v>640</v>
      </c>
      <c r="AY5" s="3">
        <v>1120</v>
      </c>
      <c r="AZ5" s="3">
        <v>2</v>
      </c>
      <c r="BA5" s="3">
        <v>9</v>
      </c>
      <c r="BB5" s="3">
        <v>4</v>
      </c>
      <c r="BC5" s="3">
        <v>18</v>
      </c>
      <c r="BD5" s="3">
        <v>4</v>
      </c>
      <c r="BE5" s="3">
        <v>72</v>
      </c>
      <c r="BF5" s="3">
        <v>1120</v>
      </c>
      <c r="BG5" s="3">
        <v>640</v>
      </c>
      <c r="BH5" s="3">
        <v>920</v>
      </c>
      <c r="BI5" s="3">
        <v>3</v>
      </c>
      <c r="BJ5" s="3">
        <v>9</v>
      </c>
      <c r="BK5" s="3">
        <v>4</v>
      </c>
      <c r="BL5" s="3">
        <v>27</v>
      </c>
      <c r="BM5" s="3">
        <v>4</v>
      </c>
      <c r="BN5" s="3">
        <v>108</v>
      </c>
    </row>
    <row r="6" spans="1:66" x14ac:dyDescent="0.3">
      <c r="A6" s="2" t="str">
        <v>1</v>
      </c>
      <c r="B6" s="2">
        <v>5</v>
      </c>
      <c r="C6" s="2">
        <v>14007838</v>
      </c>
      <c r="D6" s="2" t="str">
        <v>DRIVER SIDE BOOSTER COVER ASSY</v>
      </c>
      <c r="E6" s="3">
        <v>410</v>
      </c>
      <c r="F6" s="3">
        <v>280</v>
      </c>
      <c r="G6" s="3">
        <v>160</v>
      </c>
      <c r="H6" s="3">
        <v>16</v>
      </c>
      <c r="I6" s="3">
        <v>1</v>
      </c>
      <c r="J6" s="3">
        <v>16</v>
      </c>
      <c r="K6" s="3">
        <v>202</v>
      </c>
      <c r="L6" s="25" t="str">
        <v>FLC ( 1200 x 1000 x 800) mm</v>
      </c>
      <c r="M6" s="3">
        <v>1120</v>
      </c>
      <c r="N6" s="3">
        <v>920</v>
      </c>
      <c r="O6" s="3">
        <v>640</v>
      </c>
      <c r="P6" s="3">
        <v>2</v>
      </c>
      <c r="Q6" s="3">
        <v>3</v>
      </c>
      <c r="R6" s="3">
        <v>3</v>
      </c>
      <c r="S6" s="3">
        <v>6</v>
      </c>
      <c r="T6" s="3">
        <v>3</v>
      </c>
      <c r="U6" s="3">
        <v>18</v>
      </c>
      <c r="V6" s="3">
        <v>920</v>
      </c>
      <c r="W6" s="3">
        <v>1120</v>
      </c>
      <c r="X6" s="3">
        <v>640</v>
      </c>
      <c r="Y6" s="3">
        <v>2</v>
      </c>
      <c r="Z6" s="3">
        <v>3</v>
      </c>
      <c r="AA6" s="3">
        <v>3</v>
      </c>
      <c r="AB6" s="3">
        <v>6</v>
      </c>
      <c r="AC6" s="3">
        <v>3</v>
      </c>
      <c r="AD6" s="3">
        <v>18</v>
      </c>
      <c r="AE6" s="3">
        <v>640</v>
      </c>
      <c r="AF6" s="3">
        <v>1120</v>
      </c>
      <c r="AG6" s="3">
        <v>920</v>
      </c>
      <c r="AH6" s="3">
        <v>1</v>
      </c>
      <c r="AI6" s="3">
        <v>3</v>
      </c>
      <c r="AJ6" s="3">
        <v>5</v>
      </c>
      <c r="AK6" s="3">
        <v>3</v>
      </c>
      <c r="AL6" s="3">
        <v>5</v>
      </c>
      <c r="AM6" s="3">
        <v>15</v>
      </c>
      <c r="AN6" s="3">
        <v>640</v>
      </c>
      <c r="AO6" s="3">
        <v>920</v>
      </c>
      <c r="AP6" s="3">
        <v>1120</v>
      </c>
      <c r="AQ6" s="3">
        <v>1</v>
      </c>
      <c r="AR6" s="3">
        <v>3</v>
      </c>
      <c r="AS6" s="3">
        <v>6</v>
      </c>
      <c r="AT6" s="3">
        <v>3</v>
      </c>
      <c r="AU6" s="3">
        <v>6</v>
      </c>
      <c r="AV6" s="3">
        <v>18</v>
      </c>
      <c r="AW6" s="3">
        <v>920</v>
      </c>
      <c r="AX6" s="3">
        <v>640</v>
      </c>
      <c r="AY6" s="3">
        <v>1120</v>
      </c>
      <c r="AZ6" s="3">
        <v>2</v>
      </c>
      <c r="BA6" s="3">
        <v>2</v>
      </c>
      <c r="BB6" s="3">
        <v>6</v>
      </c>
      <c r="BC6" s="3">
        <v>4</v>
      </c>
      <c r="BD6" s="3">
        <v>6</v>
      </c>
      <c r="BE6" s="3">
        <v>24</v>
      </c>
      <c r="BF6" s="3">
        <v>1120</v>
      </c>
      <c r="BG6" s="3">
        <v>640</v>
      </c>
      <c r="BH6" s="3">
        <v>920</v>
      </c>
      <c r="BI6" s="3">
        <v>2</v>
      </c>
      <c r="BJ6" s="3">
        <v>2</v>
      </c>
      <c r="BK6" s="3">
        <v>5</v>
      </c>
      <c r="BL6" s="3">
        <v>4</v>
      </c>
      <c r="BM6" s="3">
        <v>5</v>
      </c>
      <c r="BN6" s="3">
        <v>20</v>
      </c>
    </row>
    <row r="7" spans="1:66" x14ac:dyDescent="0.3">
      <c r="A7" s="2" t="str">
        <v>1</v>
      </c>
      <c r="B7" s="2">
        <v>6</v>
      </c>
      <c r="C7" s="2">
        <v>14007839</v>
      </c>
      <c r="D7" s="2" t="str">
        <v>PASSENGER SIDE KNEE COVER RHD ASSY</v>
      </c>
      <c r="E7" s="3">
        <v>380</v>
      </c>
      <c r="F7" s="3">
        <v>110</v>
      </c>
      <c r="G7" s="3">
        <v>295</v>
      </c>
      <c r="H7" s="3">
        <v>64</v>
      </c>
      <c r="I7" s="3">
        <v>1</v>
      </c>
      <c r="J7" s="3">
        <v>64</v>
      </c>
      <c r="K7" s="3">
        <v>50</v>
      </c>
      <c r="L7" s="25" t="str">
        <v>FLC ( 1200 x 1000 x 800) mm</v>
      </c>
      <c r="M7" s="3">
        <v>1120</v>
      </c>
      <c r="N7" s="3">
        <v>920</v>
      </c>
      <c r="O7" s="3">
        <v>640</v>
      </c>
      <c r="P7" s="3">
        <v>2</v>
      </c>
      <c r="Q7" s="3">
        <v>8</v>
      </c>
      <c r="R7" s="3">
        <v>2</v>
      </c>
      <c r="S7" s="3">
        <v>16</v>
      </c>
      <c r="T7" s="3">
        <v>2</v>
      </c>
      <c r="U7" s="3">
        <v>32</v>
      </c>
      <c r="V7" s="3">
        <v>920</v>
      </c>
      <c r="W7" s="3">
        <v>1120</v>
      </c>
      <c r="X7" s="3">
        <v>640</v>
      </c>
      <c r="Y7" s="3">
        <v>2</v>
      </c>
      <c r="Z7" s="3">
        <v>9</v>
      </c>
      <c r="AA7" s="3">
        <v>2</v>
      </c>
      <c r="AB7" s="3">
        <v>18</v>
      </c>
      <c r="AC7" s="3">
        <v>2</v>
      </c>
      <c r="AD7" s="3">
        <v>36</v>
      </c>
      <c r="AE7" s="3">
        <v>640</v>
      </c>
      <c r="AF7" s="3">
        <v>1120</v>
      </c>
      <c r="AG7" s="3">
        <v>920</v>
      </c>
      <c r="AH7" s="3">
        <v>1</v>
      </c>
      <c r="AI7" s="3">
        <v>9</v>
      </c>
      <c r="AJ7" s="3">
        <v>3</v>
      </c>
      <c r="AK7" s="3">
        <v>9</v>
      </c>
      <c r="AL7" s="3">
        <v>3</v>
      </c>
      <c r="AM7" s="3">
        <v>27</v>
      </c>
      <c r="AN7" s="3">
        <v>640</v>
      </c>
      <c r="AO7" s="3">
        <v>920</v>
      </c>
      <c r="AP7" s="3">
        <v>1120</v>
      </c>
      <c r="AQ7" s="3">
        <v>1</v>
      </c>
      <c r="AR7" s="3">
        <v>8</v>
      </c>
      <c r="AS7" s="3">
        <v>3</v>
      </c>
      <c r="AT7" s="3">
        <v>8</v>
      </c>
      <c r="AU7" s="3">
        <v>3</v>
      </c>
      <c r="AV7" s="3">
        <v>24</v>
      </c>
      <c r="AW7" s="3">
        <v>920</v>
      </c>
      <c r="AX7" s="3">
        <v>640</v>
      </c>
      <c r="AY7" s="3">
        <v>1120</v>
      </c>
      <c r="AZ7" s="3">
        <v>2</v>
      </c>
      <c r="BA7" s="3">
        <v>5</v>
      </c>
      <c r="BB7" s="3">
        <v>3</v>
      </c>
      <c r="BC7" s="3">
        <v>10</v>
      </c>
      <c r="BD7" s="3">
        <v>3</v>
      </c>
      <c r="BE7" s="3">
        <v>30</v>
      </c>
      <c r="BF7" s="3">
        <v>1120</v>
      </c>
      <c r="BG7" s="3">
        <v>640</v>
      </c>
      <c r="BH7" s="3">
        <v>920</v>
      </c>
      <c r="BI7" s="3">
        <v>2</v>
      </c>
      <c r="BJ7" s="3">
        <v>5</v>
      </c>
      <c r="BK7" s="3">
        <v>3</v>
      </c>
      <c r="BL7" s="3">
        <v>10</v>
      </c>
      <c r="BM7" s="3">
        <v>3</v>
      </c>
      <c r="BN7" s="3">
        <v>30</v>
      </c>
    </row>
    <row r="8" spans="1:66" x14ac:dyDescent="0.3">
      <c r="A8" s="2" t="str">
        <v>1</v>
      </c>
      <c r="B8" s="2">
        <v>7</v>
      </c>
      <c r="C8" s="2">
        <v>14007840</v>
      </c>
      <c r="D8" s="2" t="str">
        <v>END CAP LH ASSY</v>
      </c>
      <c r="E8" s="3">
        <v>130</v>
      </c>
      <c r="F8" s="3">
        <v>50</v>
      </c>
      <c r="G8" s="3">
        <v>385</v>
      </c>
      <c r="H8" s="3">
        <v>192</v>
      </c>
      <c r="I8" s="3">
        <v>1</v>
      </c>
      <c r="J8" s="3">
        <v>192</v>
      </c>
      <c r="K8" s="3">
        <v>18</v>
      </c>
      <c r="L8" s="25" t="str">
        <v>FLC ( 1200 x 1000 x 800) mm</v>
      </c>
      <c r="M8" s="3">
        <v>1120</v>
      </c>
      <c r="N8" s="3">
        <v>920</v>
      </c>
      <c r="O8" s="3">
        <v>640</v>
      </c>
      <c r="P8" s="3">
        <v>8</v>
      </c>
      <c r="Q8" s="3">
        <v>16</v>
      </c>
      <c r="R8" s="3">
        <v>1</v>
      </c>
      <c r="S8" s="3">
        <v>128</v>
      </c>
      <c r="T8" s="3">
        <v>1</v>
      </c>
      <c r="U8" s="3">
        <v>128</v>
      </c>
      <c r="V8" s="3">
        <v>920</v>
      </c>
      <c r="W8" s="3">
        <v>1120</v>
      </c>
      <c r="X8" s="3">
        <v>640</v>
      </c>
      <c r="Y8" s="3">
        <v>6</v>
      </c>
      <c r="Z8" s="3">
        <v>20</v>
      </c>
      <c r="AA8" s="3">
        <v>1</v>
      </c>
      <c r="AB8" s="3">
        <v>120</v>
      </c>
      <c r="AC8" s="3">
        <v>1</v>
      </c>
      <c r="AD8" s="3">
        <v>120</v>
      </c>
      <c r="AE8" s="3">
        <v>640</v>
      </c>
      <c r="AF8" s="3">
        <v>1120</v>
      </c>
      <c r="AG8" s="3">
        <v>920</v>
      </c>
      <c r="AH8" s="3">
        <v>4</v>
      </c>
      <c r="AI8" s="3">
        <v>20</v>
      </c>
      <c r="AJ8" s="3">
        <v>2</v>
      </c>
      <c r="AK8" s="3">
        <v>80</v>
      </c>
      <c r="AL8" s="3">
        <v>2</v>
      </c>
      <c r="AM8" s="3">
        <v>160</v>
      </c>
      <c r="AN8" s="3">
        <v>640</v>
      </c>
      <c r="AO8" s="3">
        <v>920</v>
      </c>
      <c r="AP8" s="3">
        <v>1120</v>
      </c>
      <c r="AQ8" s="3">
        <v>4</v>
      </c>
      <c r="AR8" s="3">
        <v>16</v>
      </c>
      <c r="AS8" s="3">
        <v>2</v>
      </c>
      <c r="AT8" s="3">
        <v>64</v>
      </c>
      <c r="AU8" s="3">
        <v>2</v>
      </c>
      <c r="AV8" s="3">
        <v>128</v>
      </c>
      <c r="AW8" s="3">
        <v>920</v>
      </c>
      <c r="AX8" s="3">
        <v>640</v>
      </c>
      <c r="AY8" s="3">
        <v>1120</v>
      </c>
      <c r="AZ8" s="3">
        <v>6</v>
      </c>
      <c r="BA8" s="3">
        <v>11</v>
      </c>
      <c r="BB8" s="3">
        <v>2</v>
      </c>
      <c r="BC8" s="3">
        <v>66</v>
      </c>
      <c r="BD8" s="3">
        <v>2</v>
      </c>
      <c r="BE8" s="3">
        <v>132</v>
      </c>
      <c r="BF8" s="3">
        <v>1120</v>
      </c>
      <c r="BG8" s="3">
        <v>640</v>
      </c>
      <c r="BH8" s="3">
        <v>920</v>
      </c>
      <c r="BI8" s="3">
        <v>8</v>
      </c>
      <c r="BJ8" s="3">
        <v>11</v>
      </c>
      <c r="BK8" s="3">
        <v>2</v>
      </c>
      <c r="BL8" s="3">
        <v>88</v>
      </c>
      <c r="BM8" s="3">
        <v>2</v>
      </c>
      <c r="BN8" s="3">
        <v>176</v>
      </c>
    </row>
    <row r="9" spans="1:66" x14ac:dyDescent="0.3">
      <c r="A9" s="2" t="str">
        <v>1</v>
      </c>
      <c r="B9" s="2">
        <v>8</v>
      </c>
      <c r="C9" s="2">
        <v>14007841</v>
      </c>
      <c r="D9" s="2" t="str">
        <v>END CAP RH ASSY</v>
      </c>
      <c r="E9" s="3">
        <v>130</v>
      </c>
      <c r="F9" s="3">
        <v>50</v>
      </c>
      <c r="G9" s="3">
        <v>385</v>
      </c>
      <c r="H9" s="3">
        <v>192</v>
      </c>
      <c r="I9" s="3">
        <v>1</v>
      </c>
      <c r="J9" s="3">
        <v>192</v>
      </c>
      <c r="K9" s="3">
        <v>18</v>
      </c>
      <c r="L9" s="25" t="str">
        <v>FLC ( 1200 x 1000 x 800) mm</v>
      </c>
      <c r="M9" s="3">
        <v>1120</v>
      </c>
      <c r="N9" s="3">
        <v>920</v>
      </c>
      <c r="O9" s="3">
        <v>640</v>
      </c>
      <c r="P9" s="3">
        <v>8</v>
      </c>
      <c r="Q9" s="3">
        <v>16</v>
      </c>
      <c r="R9" s="3">
        <v>1</v>
      </c>
      <c r="S9" s="3">
        <v>128</v>
      </c>
      <c r="T9" s="3">
        <v>1</v>
      </c>
      <c r="U9" s="3">
        <v>128</v>
      </c>
      <c r="V9" s="3">
        <v>920</v>
      </c>
      <c r="W9" s="3">
        <v>1120</v>
      </c>
      <c r="X9" s="3">
        <v>640</v>
      </c>
      <c r="Y9" s="3">
        <v>6</v>
      </c>
      <c r="Z9" s="3">
        <v>20</v>
      </c>
      <c r="AA9" s="3">
        <v>1</v>
      </c>
      <c r="AB9" s="3">
        <v>120</v>
      </c>
      <c r="AC9" s="3">
        <v>1</v>
      </c>
      <c r="AD9" s="3">
        <v>120</v>
      </c>
      <c r="AE9" s="3">
        <v>640</v>
      </c>
      <c r="AF9" s="3">
        <v>1120</v>
      </c>
      <c r="AG9" s="3">
        <v>920</v>
      </c>
      <c r="AH9" s="3">
        <v>4</v>
      </c>
      <c r="AI9" s="3">
        <v>20</v>
      </c>
      <c r="AJ9" s="3">
        <v>2</v>
      </c>
      <c r="AK9" s="3">
        <v>80</v>
      </c>
      <c r="AL9" s="3">
        <v>2</v>
      </c>
      <c r="AM9" s="3">
        <v>160</v>
      </c>
      <c r="AN9" s="3">
        <v>640</v>
      </c>
      <c r="AO9" s="3">
        <v>920</v>
      </c>
      <c r="AP9" s="3">
        <v>1120</v>
      </c>
      <c r="AQ9" s="3">
        <v>4</v>
      </c>
      <c r="AR9" s="3">
        <v>16</v>
      </c>
      <c r="AS9" s="3">
        <v>2</v>
      </c>
      <c r="AT9" s="3">
        <v>64</v>
      </c>
      <c r="AU9" s="3">
        <v>2</v>
      </c>
      <c r="AV9" s="3">
        <v>128</v>
      </c>
      <c r="AW9" s="3">
        <v>920</v>
      </c>
      <c r="AX9" s="3">
        <v>640</v>
      </c>
      <c r="AY9" s="3">
        <v>1120</v>
      </c>
      <c r="AZ9" s="3">
        <v>6</v>
      </c>
      <c r="BA9" s="3">
        <v>11</v>
      </c>
      <c r="BB9" s="3">
        <v>2</v>
      </c>
      <c r="BC9" s="3">
        <v>66</v>
      </c>
      <c r="BD9" s="3">
        <v>2</v>
      </c>
      <c r="BE9" s="3">
        <v>132</v>
      </c>
      <c r="BF9" s="3">
        <v>1120</v>
      </c>
      <c r="BG9" s="3">
        <v>640</v>
      </c>
      <c r="BH9" s="3">
        <v>920</v>
      </c>
      <c r="BI9" s="3">
        <v>8</v>
      </c>
      <c r="BJ9" s="3">
        <v>11</v>
      </c>
      <c r="BK9" s="3">
        <v>2</v>
      </c>
      <c r="BL9" s="3">
        <v>88</v>
      </c>
      <c r="BM9" s="3">
        <v>2</v>
      </c>
      <c r="BN9" s="3">
        <v>176</v>
      </c>
    </row>
    <row r="10" spans="1:66" x14ac:dyDescent="0.3">
      <c r="A10" s="2" t="str">
        <v>1</v>
      </c>
      <c r="B10" s="2">
        <v>9</v>
      </c>
      <c r="C10" s="2">
        <v>14007842</v>
      </c>
      <c r="D10" s="2" t="str">
        <v>DRIVER SIDE KNEE COVER RHD ASSY</v>
      </c>
      <c r="E10" s="3">
        <v>170</v>
      </c>
      <c r="F10" s="3">
        <v>70</v>
      </c>
      <c r="G10" s="3">
        <v>265</v>
      </c>
      <c r="H10" s="3">
        <v>80</v>
      </c>
      <c r="I10" s="3">
        <v>1</v>
      </c>
      <c r="J10" s="3">
        <v>80</v>
      </c>
      <c r="K10" s="3">
        <v>40</v>
      </c>
      <c r="L10" s="25" t="str">
        <v>FLC ( 1200 x 1000 x 800) mm</v>
      </c>
      <c r="M10" s="3">
        <v>1120</v>
      </c>
      <c r="N10" s="3">
        <v>920</v>
      </c>
      <c r="O10" s="3">
        <v>640</v>
      </c>
      <c r="P10" s="3">
        <v>6</v>
      </c>
      <c r="Q10" s="3">
        <v>12</v>
      </c>
      <c r="R10" s="3">
        <v>2</v>
      </c>
      <c r="S10" s="3">
        <v>72</v>
      </c>
      <c r="T10" s="3">
        <v>2</v>
      </c>
      <c r="U10" s="3">
        <v>144</v>
      </c>
      <c r="V10" s="3">
        <v>920</v>
      </c>
      <c r="W10" s="3">
        <v>1120</v>
      </c>
      <c r="X10" s="3">
        <v>640</v>
      </c>
      <c r="Y10" s="3">
        <v>5</v>
      </c>
      <c r="Z10" s="3">
        <v>14</v>
      </c>
      <c r="AA10" s="3">
        <v>2</v>
      </c>
      <c r="AB10" s="3">
        <v>70</v>
      </c>
      <c r="AC10" s="3">
        <v>2</v>
      </c>
      <c r="AD10" s="3">
        <v>140</v>
      </c>
      <c r="AE10" s="3">
        <v>640</v>
      </c>
      <c r="AF10" s="3">
        <v>1120</v>
      </c>
      <c r="AG10" s="3">
        <v>920</v>
      </c>
      <c r="AH10" s="3">
        <v>3</v>
      </c>
      <c r="AI10" s="3">
        <v>14</v>
      </c>
      <c r="AJ10" s="3">
        <v>3</v>
      </c>
      <c r="AK10" s="3">
        <v>42</v>
      </c>
      <c r="AL10" s="3">
        <v>3</v>
      </c>
      <c r="AM10" s="3">
        <v>126</v>
      </c>
      <c r="AN10" s="3">
        <v>640</v>
      </c>
      <c r="AO10" s="3">
        <v>920</v>
      </c>
      <c r="AP10" s="3">
        <v>1120</v>
      </c>
      <c r="AQ10" s="3">
        <v>3</v>
      </c>
      <c r="AR10" s="3">
        <v>12</v>
      </c>
      <c r="AS10" s="3">
        <v>4</v>
      </c>
      <c r="AT10" s="3">
        <v>36</v>
      </c>
      <c r="AU10" s="3">
        <v>4</v>
      </c>
      <c r="AV10" s="3">
        <v>144</v>
      </c>
      <c r="AW10" s="3">
        <v>920</v>
      </c>
      <c r="AX10" s="3">
        <v>640</v>
      </c>
      <c r="AY10" s="3">
        <v>1120</v>
      </c>
      <c r="AZ10" s="3">
        <v>5</v>
      </c>
      <c r="BA10" s="3">
        <v>8</v>
      </c>
      <c r="BB10" s="3">
        <v>4</v>
      </c>
      <c r="BC10" s="3">
        <v>40</v>
      </c>
      <c r="BD10" s="3">
        <v>4</v>
      </c>
      <c r="BE10" s="3">
        <v>160</v>
      </c>
      <c r="BF10" s="3">
        <v>1120</v>
      </c>
      <c r="BG10" s="3">
        <v>640</v>
      </c>
      <c r="BH10" s="3">
        <v>920</v>
      </c>
      <c r="BI10" s="3">
        <v>6</v>
      </c>
      <c r="BJ10" s="3">
        <v>8</v>
      </c>
      <c r="BK10" s="3">
        <v>3</v>
      </c>
      <c r="BL10" s="3">
        <v>48</v>
      </c>
      <c r="BM10" s="3">
        <v>3</v>
      </c>
      <c r="BN10" s="3">
        <v>144</v>
      </c>
    </row>
    <row r="11" spans="1:66" x14ac:dyDescent="0.3">
      <c r="A11" s="2" t="str">
        <v>1</v>
      </c>
      <c r="B11" s="2">
        <v>10</v>
      </c>
      <c r="C11" s="2">
        <v>14007843</v>
      </c>
      <c r="D11" s="2" t="str">
        <v>DIN_BIN</v>
      </c>
      <c r="E11" s="3">
        <v>225</v>
      </c>
      <c r="F11" s="3">
        <v>70</v>
      </c>
      <c r="G11" s="3">
        <v>310</v>
      </c>
      <c r="H11" s="3">
        <v>192</v>
      </c>
      <c r="I11" s="3">
        <v>3</v>
      </c>
      <c r="J11" s="3">
        <v>576</v>
      </c>
      <c r="K11" s="3">
        <v>6</v>
      </c>
      <c r="L11" s="25" t="str">
        <v>FLC ( 1200 x 1000 x 800) mm</v>
      </c>
      <c r="M11" s="3">
        <v>1120</v>
      </c>
      <c r="N11" s="3">
        <v>920</v>
      </c>
      <c r="O11" s="3">
        <v>640</v>
      </c>
      <c r="P11" s="3">
        <v>4</v>
      </c>
      <c r="Q11" s="3">
        <v>12</v>
      </c>
      <c r="R11" s="3">
        <v>2</v>
      </c>
      <c r="S11" s="3">
        <v>48</v>
      </c>
      <c r="T11" s="3">
        <v>2</v>
      </c>
      <c r="U11" s="3">
        <v>96</v>
      </c>
      <c r="V11" s="3">
        <v>920</v>
      </c>
      <c r="W11" s="3">
        <v>1120</v>
      </c>
      <c r="X11" s="3">
        <v>640</v>
      </c>
      <c r="Y11" s="3">
        <v>4</v>
      </c>
      <c r="Z11" s="3">
        <v>14</v>
      </c>
      <c r="AA11" s="3">
        <v>2</v>
      </c>
      <c r="AB11" s="3">
        <v>56</v>
      </c>
      <c r="AC11" s="3">
        <v>2</v>
      </c>
      <c r="AD11" s="3">
        <v>112</v>
      </c>
      <c r="AE11" s="3">
        <v>640</v>
      </c>
      <c r="AF11" s="3">
        <v>1120</v>
      </c>
      <c r="AG11" s="3">
        <v>920</v>
      </c>
      <c r="AH11" s="3">
        <v>2</v>
      </c>
      <c r="AI11" s="3">
        <v>14</v>
      </c>
      <c r="AJ11" s="3">
        <v>2</v>
      </c>
      <c r="AK11" s="3">
        <v>28</v>
      </c>
      <c r="AL11" s="3">
        <v>2</v>
      </c>
      <c r="AM11" s="3">
        <v>56</v>
      </c>
      <c r="AN11" s="3">
        <v>640</v>
      </c>
      <c r="AO11" s="3">
        <v>920</v>
      </c>
      <c r="AP11" s="3">
        <v>1120</v>
      </c>
      <c r="AQ11" s="3">
        <v>2</v>
      </c>
      <c r="AR11" s="3">
        <v>12</v>
      </c>
      <c r="AS11" s="3">
        <v>3</v>
      </c>
      <c r="AT11" s="3">
        <v>24</v>
      </c>
      <c r="AU11" s="3">
        <v>3</v>
      </c>
      <c r="AV11" s="3">
        <v>72</v>
      </c>
      <c r="AW11" s="3">
        <v>920</v>
      </c>
      <c r="AX11" s="3">
        <v>640</v>
      </c>
      <c r="AY11" s="3">
        <v>1120</v>
      </c>
      <c r="AZ11" s="3">
        <v>4</v>
      </c>
      <c r="BA11" s="3">
        <v>8</v>
      </c>
      <c r="BB11" s="3">
        <v>3</v>
      </c>
      <c r="BC11" s="3">
        <v>32</v>
      </c>
      <c r="BD11" s="3">
        <v>3</v>
      </c>
      <c r="BE11" s="3">
        <v>96</v>
      </c>
      <c r="BF11" s="3">
        <v>1120</v>
      </c>
      <c r="BG11" s="3">
        <v>640</v>
      </c>
      <c r="BH11" s="3">
        <v>920</v>
      </c>
      <c r="BI11" s="3">
        <v>4</v>
      </c>
      <c r="BJ11" s="3">
        <v>8</v>
      </c>
      <c r="BK11" s="3">
        <v>2</v>
      </c>
      <c r="BL11" s="3">
        <v>32</v>
      </c>
      <c r="BM11" s="3">
        <v>2</v>
      </c>
      <c r="BN11" s="3">
        <v>64</v>
      </c>
    </row>
    <row r="12" spans="1:66" x14ac:dyDescent="0.3">
      <c r="A12" s="2" t="str">
        <v>1</v>
      </c>
      <c r="B12" s="2">
        <v>1</v>
      </c>
      <c r="C12" s="2">
        <v>14007834</v>
      </c>
      <c r="D12" s="2" t="str">
        <v>2.0_M_CENTER BEZEL PREMIUM ASSY</v>
      </c>
      <c r="E12" s="3">
        <v>274</v>
      </c>
      <c r="F12" s="3">
        <v>76</v>
      </c>
      <c r="G12" s="3">
        <v>620</v>
      </c>
      <c r="H12" s="3">
        <v>44</v>
      </c>
      <c r="I12" s="3">
        <v>1</v>
      </c>
      <c r="J12" s="3">
        <v>44</v>
      </c>
      <c r="K12" s="3">
        <v>80</v>
      </c>
      <c r="L12" s="25" t="str">
        <v>FLC ( 1200 x 800 x 975) mm</v>
      </c>
      <c r="M12" s="3">
        <v>1155</v>
      </c>
      <c r="N12" s="3">
        <v>755</v>
      </c>
      <c r="O12" s="3">
        <v>780</v>
      </c>
      <c r="P12" s="3">
        <v>4</v>
      </c>
      <c r="Q12" s="3">
        <v>9</v>
      </c>
      <c r="R12" s="3">
        <v>1</v>
      </c>
      <c r="S12" s="3">
        <v>36</v>
      </c>
      <c r="T12" s="3">
        <v>1</v>
      </c>
      <c r="U12" s="3">
        <v>36</v>
      </c>
      <c r="V12" s="3">
        <v>755</v>
      </c>
      <c r="W12" s="3">
        <v>1155</v>
      </c>
      <c r="X12" s="3">
        <v>780</v>
      </c>
      <c r="Y12" s="3">
        <v>2</v>
      </c>
      <c r="Z12" s="3">
        <v>14</v>
      </c>
      <c r="AA12" s="3">
        <v>1</v>
      </c>
      <c r="AB12" s="3">
        <v>28</v>
      </c>
      <c r="AC12" s="3">
        <v>1</v>
      </c>
      <c r="AD12" s="3">
        <v>28</v>
      </c>
      <c r="AE12" s="3">
        <v>780</v>
      </c>
      <c r="AF12" s="3">
        <v>1155</v>
      </c>
      <c r="AG12" s="3">
        <v>755</v>
      </c>
      <c r="AH12" s="3">
        <v>2</v>
      </c>
      <c r="AI12" s="3">
        <v>14</v>
      </c>
      <c r="AJ12" s="3">
        <v>1</v>
      </c>
      <c r="AK12" s="3">
        <v>28</v>
      </c>
      <c r="AL12" s="3">
        <v>1</v>
      </c>
      <c r="AM12" s="3">
        <v>28</v>
      </c>
      <c r="AN12" s="3">
        <v>780</v>
      </c>
      <c r="AO12" s="3">
        <v>755</v>
      </c>
      <c r="AP12" s="3">
        <v>1155</v>
      </c>
      <c r="AQ12" s="3">
        <v>2</v>
      </c>
      <c r="AR12" s="3">
        <v>9</v>
      </c>
      <c r="AS12" s="3">
        <v>1</v>
      </c>
      <c r="AT12" s="3">
        <v>18</v>
      </c>
      <c r="AU12" s="3">
        <v>1</v>
      </c>
      <c r="AV12" s="3">
        <v>18</v>
      </c>
      <c r="AW12" s="3">
        <v>755</v>
      </c>
      <c r="AX12" s="3">
        <v>780</v>
      </c>
      <c r="AY12" s="3">
        <v>1155</v>
      </c>
      <c r="AZ12" s="3">
        <v>2</v>
      </c>
      <c r="BA12" s="3">
        <v>9</v>
      </c>
      <c r="BB12" s="3">
        <v>1</v>
      </c>
      <c r="BC12" s="3">
        <v>18</v>
      </c>
      <c r="BD12" s="3">
        <v>1</v>
      </c>
      <c r="BE12" s="3">
        <v>18</v>
      </c>
      <c r="BF12" s="3">
        <v>1155</v>
      </c>
      <c r="BG12" s="3">
        <v>780</v>
      </c>
      <c r="BH12" s="3">
        <v>755</v>
      </c>
      <c r="BI12" s="3">
        <v>4</v>
      </c>
      <c r="BJ12" s="3">
        <v>9</v>
      </c>
      <c r="BK12" s="3">
        <v>1</v>
      </c>
      <c r="BL12" s="3">
        <v>36</v>
      </c>
      <c r="BM12" s="3">
        <v>1</v>
      </c>
      <c r="BN12" s="3">
        <v>36</v>
      </c>
    </row>
    <row r="13" spans="1:66" x14ac:dyDescent="0.3">
      <c r="A13" s="2" t="str">
        <v>1</v>
      </c>
      <c r="B13" s="2">
        <v>2</v>
      </c>
      <c r="C13" s="2">
        <v>14007835</v>
      </c>
      <c r="D13" s="2" t="str">
        <v>SHROUD UPPER</v>
      </c>
      <c r="E13" s="3">
        <v>225</v>
      </c>
      <c r="F13" s="3">
        <v>125</v>
      </c>
      <c r="G13" s="3">
        <v>190</v>
      </c>
      <c r="H13" s="3">
        <v>96</v>
      </c>
      <c r="I13" s="3">
        <v>2</v>
      </c>
      <c r="J13" s="3">
        <v>192</v>
      </c>
      <c r="K13" s="3">
        <v>18</v>
      </c>
      <c r="L13" s="25" t="str">
        <v>FLC ( 1200 x 800 x 975) mm</v>
      </c>
      <c r="M13" s="3">
        <v>1155</v>
      </c>
      <c r="N13" s="3">
        <v>755</v>
      </c>
      <c r="O13" s="3">
        <v>780</v>
      </c>
      <c r="P13" s="3">
        <v>5</v>
      </c>
      <c r="Q13" s="3">
        <v>5</v>
      </c>
      <c r="R13" s="3">
        <v>4</v>
      </c>
      <c r="S13" s="3">
        <v>25</v>
      </c>
      <c r="T13" s="3">
        <v>4</v>
      </c>
      <c r="U13" s="3">
        <v>100</v>
      </c>
      <c r="V13" s="3">
        <v>755</v>
      </c>
      <c r="W13" s="3">
        <v>1155</v>
      </c>
      <c r="X13" s="3">
        <v>780</v>
      </c>
      <c r="Y13" s="3">
        <v>3</v>
      </c>
      <c r="Z13" s="3">
        <v>8</v>
      </c>
      <c r="AA13" s="3">
        <v>4</v>
      </c>
      <c r="AB13" s="3">
        <v>24</v>
      </c>
      <c r="AC13" s="3">
        <v>4</v>
      </c>
      <c r="AD13" s="3">
        <v>96</v>
      </c>
      <c r="AE13" s="3">
        <v>780</v>
      </c>
      <c r="AF13" s="3">
        <v>1155</v>
      </c>
      <c r="AG13" s="3">
        <v>755</v>
      </c>
      <c r="AH13" s="3">
        <v>3</v>
      </c>
      <c r="AI13" s="3">
        <v>8</v>
      </c>
      <c r="AJ13" s="3">
        <v>3</v>
      </c>
      <c r="AK13" s="3">
        <v>24</v>
      </c>
      <c r="AL13" s="3">
        <v>3</v>
      </c>
      <c r="AM13" s="3">
        <v>72</v>
      </c>
      <c r="AN13" s="3">
        <v>780</v>
      </c>
      <c r="AO13" s="3">
        <v>755</v>
      </c>
      <c r="AP13" s="3">
        <v>1155</v>
      </c>
      <c r="AQ13" s="3">
        <v>3</v>
      </c>
      <c r="AR13" s="3">
        <v>5</v>
      </c>
      <c r="AS13" s="3">
        <v>5</v>
      </c>
      <c r="AT13" s="3">
        <v>15</v>
      </c>
      <c r="AU13" s="3">
        <v>5</v>
      </c>
      <c r="AV13" s="3">
        <v>75</v>
      </c>
      <c r="AW13" s="3">
        <v>755</v>
      </c>
      <c r="AX13" s="3">
        <v>780</v>
      </c>
      <c r="AY13" s="3">
        <v>1155</v>
      </c>
      <c r="AZ13" s="3">
        <v>3</v>
      </c>
      <c r="BA13" s="3">
        <v>6</v>
      </c>
      <c r="BB13" s="3">
        <v>5</v>
      </c>
      <c r="BC13" s="3">
        <v>18</v>
      </c>
      <c r="BD13" s="3">
        <v>5</v>
      </c>
      <c r="BE13" s="3">
        <v>90</v>
      </c>
      <c r="BF13" s="3">
        <v>1155</v>
      </c>
      <c r="BG13" s="3">
        <v>780</v>
      </c>
      <c r="BH13" s="3">
        <v>755</v>
      </c>
      <c r="BI13" s="3">
        <v>5</v>
      </c>
      <c r="BJ13" s="3">
        <v>6</v>
      </c>
      <c r="BK13" s="3">
        <v>3</v>
      </c>
      <c r="BL13" s="3">
        <v>30</v>
      </c>
      <c r="BM13" s="3">
        <v>3</v>
      </c>
      <c r="BN13" s="3">
        <v>90</v>
      </c>
    </row>
    <row r="14" spans="1:66" x14ac:dyDescent="0.3">
      <c r="A14" s="2" t="str">
        <v>1</v>
      </c>
      <c r="B14" s="2">
        <v>3</v>
      </c>
      <c r="C14" s="2">
        <v>14007836</v>
      </c>
      <c r="D14" s="2" t="str">
        <v>SHROUD LOWER</v>
      </c>
      <c r="E14" s="3">
        <v>435</v>
      </c>
      <c r="F14" s="3">
        <v>100</v>
      </c>
      <c r="G14" s="3">
        <v>210</v>
      </c>
      <c r="H14" s="3">
        <v>48</v>
      </c>
      <c r="I14" s="3">
        <v>1</v>
      </c>
      <c r="J14" s="3">
        <v>48</v>
      </c>
      <c r="K14" s="3">
        <v>75</v>
      </c>
      <c r="L14" s="25" t="str">
        <v>FLC ( 1200 x 800 x 975) mm</v>
      </c>
      <c r="M14" s="3">
        <v>1155</v>
      </c>
      <c r="N14" s="3">
        <v>755</v>
      </c>
      <c r="O14" s="3">
        <v>780</v>
      </c>
      <c r="P14" s="3">
        <v>2</v>
      </c>
      <c r="Q14" s="3">
        <v>7</v>
      </c>
      <c r="R14" s="3">
        <v>3</v>
      </c>
      <c r="S14" s="3">
        <v>14</v>
      </c>
      <c r="T14" s="3">
        <v>3</v>
      </c>
      <c r="U14" s="3">
        <v>42</v>
      </c>
      <c r="V14" s="3">
        <v>755</v>
      </c>
      <c r="W14" s="3">
        <v>1155</v>
      </c>
      <c r="X14" s="3">
        <v>780</v>
      </c>
      <c r="Y14" s="3">
        <v>1</v>
      </c>
      <c r="Z14" s="3">
        <v>11</v>
      </c>
      <c r="AA14" s="3">
        <v>3</v>
      </c>
      <c r="AB14" s="3">
        <v>11</v>
      </c>
      <c r="AC14" s="3">
        <v>3</v>
      </c>
      <c r="AD14" s="3">
        <v>33</v>
      </c>
      <c r="AE14" s="3">
        <v>780</v>
      </c>
      <c r="AF14" s="3">
        <v>1155</v>
      </c>
      <c r="AG14" s="3">
        <v>755</v>
      </c>
      <c r="AH14" s="3">
        <v>1</v>
      </c>
      <c r="AI14" s="3">
        <v>11</v>
      </c>
      <c r="AJ14" s="3">
        <v>3</v>
      </c>
      <c r="AK14" s="3">
        <v>11</v>
      </c>
      <c r="AL14" s="3">
        <v>3</v>
      </c>
      <c r="AM14" s="3">
        <v>33</v>
      </c>
      <c r="AN14" s="3">
        <v>780</v>
      </c>
      <c r="AO14" s="3">
        <v>755</v>
      </c>
      <c r="AP14" s="3">
        <v>1155</v>
      </c>
      <c r="AQ14" s="3">
        <v>1</v>
      </c>
      <c r="AR14" s="3">
        <v>7</v>
      </c>
      <c r="AS14" s="3">
        <v>5</v>
      </c>
      <c r="AT14" s="3">
        <v>7</v>
      </c>
      <c r="AU14" s="3">
        <v>5</v>
      </c>
      <c r="AV14" s="3">
        <v>35</v>
      </c>
      <c r="AW14" s="3">
        <v>755</v>
      </c>
      <c r="AX14" s="3">
        <v>780</v>
      </c>
      <c r="AY14" s="3">
        <v>1155</v>
      </c>
      <c r="AZ14" s="3">
        <v>1</v>
      </c>
      <c r="BA14" s="3">
        <v>7</v>
      </c>
      <c r="BB14" s="3">
        <v>5</v>
      </c>
      <c r="BC14" s="3">
        <v>7</v>
      </c>
      <c r="BD14" s="3">
        <v>5</v>
      </c>
      <c r="BE14" s="3">
        <v>35</v>
      </c>
      <c r="BF14" s="3">
        <v>1155</v>
      </c>
      <c r="BG14" s="3">
        <v>780</v>
      </c>
      <c r="BH14" s="3">
        <v>755</v>
      </c>
      <c r="BI14" s="3">
        <v>2</v>
      </c>
      <c r="BJ14" s="3">
        <v>7</v>
      </c>
      <c r="BK14" s="3">
        <v>3</v>
      </c>
      <c r="BL14" s="3">
        <v>14</v>
      </c>
      <c r="BM14" s="3">
        <v>3</v>
      </c>
      <c r="BN14" s="3">
        <v>42</v>
      </c>
    </row>
    <row r="15" spans="1:66" x14ac:dyDescent="0.3">
      <c r="A15" s="2" t="str">
        <v>1</v>
      </c>
      <c r="B15" s="2">
        <v>4</v>
      </c>
      <c r="C15" s="2">
        <v>14007837</v>
      </c>
      <c r="D15" s="2" t="str">
        <v>CLUSTER BEZEL LOWER ASSY</v>
      </c>
      <c r="E15" s="3">
        <v>365</v>
      </c>
      <c r="F15" s="3">
        <v>63</v>
      </c>
      <c r="G15" s="3">
        <v>225</v>
      </c>
      <c r="H15" s="3">
        <v>96</v>
      </c>
      <c r="I15" s="3">
        <v>1</v>
      </c>
      <c r="J15" s="3">
        <v>96</v>
      </c>
      <c r="K15" s="3">
        <v>38</v>
      </c>
      <c r="L15" s="25" t="str">
        <v>FLC ( 1200 x 800 x 975) mm</v>
      </c>
      <c r="M15" s="3">
        <v>1155</v>
      </c>
      <c r="N15" s="3">
        <v>755</v>
      </c>
      <c r="O15" s="3">
        <v>780</v>
      </c>
      <c r="P15" s="3">
        <v>3</v>
      </c>
      <c r="Q15" s="3">
        <v>11</v>
      </c>
      <c r="R15" s="3">
        <v>3</v>
      </c>
      <c r="S15" s="3">
        <v>33</v>
      </c>
      <c r="T15" s="3">
        <v>3</v>
      </c>
      <c r="U15" s="3">
        <v>99</v>
      </c>
      <c r="V15" s="3">
        <v>755</v>
      </c>
      <c r="W15" s="3">
        <v>1155</v>
      </c>
      <c r="X15" s="3">
        <v>780</v>
      </c>
      <c r="Y15" s="3">
        <v>2</v>
      </c>
      <c r="Z15" s="3">
        <v>16</v>
      </c>
      <c r="AA15" s="3">
        <v>3</v>
      </c>
      <c r="AB15" s="3">
        <v>32</v>
      </c>
      <c r="AC15" s="3">
        <v>3</v>
      </c>
      <c r="AD15" s="3">
        <v>96</v>
      </c>
      <c r="AE15" s="3">
        <v>780</v>
      </c>
      <c r="AF15" s="3">
        <v>1155</v>
      </c>
      <c r="AG15" s="3">
        <v>755</v>
      </c>
      <c r="AH15" s="3">
        <v>2</v>
      </c>
      <c r="AI15" s="3">
        <v>16</v>
      </c>
      <c r="AJ15" s="3">
        <v>3</v>
      </c>
      <c r="AK15" s="3">
        <v>32</v>
      </c>
      <c r="AL15" s="3">
        <v>3</v>
      </c>
      <c r="AM15" s="3">
        <v>96</v>
      </c>
      <c r="AN15" s="3">
        <v>780</v>
      </c>
      <c r="AO15" s="3">
        <v>755</v>
      </c>
      <c r="AP15" s="3">
        <v>1155</v>
      </c>
      <c r="AQ15" s="3">
        <v>2</v>
      </c>
      <c r="AR15" s="3">
        <v>11</v>
      </c>
      <c r="AS15" s="3">
        <v>5</v>
      </c>
      <c r="AT15" s="3">
        <v>22</v>
      </c>
      <c r="AU15" s="3">
        <v>5</v>
      </c>
      <c r="AV15" s="3">
        <v>110</v>
      </c>
      <c r="AW15" s="3">
        <v>755</v>
      </c>
      <c r="AX15" s="3">
        <v>780</v>
      </c>
      <c r="AY15" s="3">
        <v>1155</v>
      </c>
      <c r="AZ15" s="3">
        <v>2</v>
      </c>
      <c r="BA15" s="3">
        <v>11</v>
      </c>
      <c r="BB15" s="3">
        <v>5</v>
      </c>
      <c r="BC15" s="3">
        <v>22</v>
      </c>
      <c r="BD15" s="3">
        <v>5</v>
      </c>
      <c r="BE15" s="3">
        <v>110</v>
      </c>
      <c r="BF15" s="3">
        <v>1155</v>
      </c>
      <c r="BG15" s="3">
        <v>780</v>
      </c>
      <c r="BH15" s="3">
        <v>755</v>
      </c>
      <c r="BI15" s="3">
        <v>3</v>
      </c>
      <c r="BJ15" s="3">
        <v>11</v>
      </c>
      <c r="BK15" s="3">
        <v>3</v>
      </c>
      <c r="BL15" s="3">
        <v>33</v>
      </c>
      <c r="BM15" s="3">
        <v>3</v>
      </c>
      <c r="BN15" s="3">
        <v>99</v>
      </c>
    </row>
    <row r="16" spans="1:66" x14ac:dyDescent="0.3">
      <c r="A16" s="2" t="str">
        <v>1</v>
      </c>
      <c r="B16" s="2">
        <v>5</v>
      </c>
      <c r="C16" s="2">
        <v>14007838</v>
      </c>
      <c r="D16" s="2" t="str">
        <v>DRIVER SIDE BOOSTER COVER ASSY</v>
      </c>
      <c r="E16" s="3">
        <v>410</v>
      </c>
      <c r="F16" s="3">
        <v>280</v>
      </c>
      <c r="G16" s="3">
        <v>160</v>
      </c>
      <c r="H16" s="3">
        <v>16</v>
      </c>
      <c r="I16" s="3">
        <v>1</v>
      </c>
      <c r="J16" s="3">
        <v>16</v>
      </c>
      <c r="K16" s="3">
        <v>202</v>
      </c>
      <c r="L16" s="25" t="str">
        <v>FLC ( 1200 x 800 x 975) mm</v>
      </c>
      <c r="M16" s="3">
        <v>1155</v>
      </c>
      <c r="N16" s="3">
        <v>755</v>
      </c>
      <c r="O16" s="3">
        <v>780</v>
      </c>
      <c r="P16" s="3">
        <v>2</v>
      </c>
      <c r="Q16" s="3">
        <v>2</v>
      </c>
      <c r="R16" s="3">
        <v>4</v>
      </c>
      <c r="S16" s="3">
        <v>4</v>
      </c>
      <c r="T16" s="3">
        <v>4</v>
      </c>
      <c r="U16" s="3">
        <v>16</v>
      </c>
      <c r="V16" s="3">
        <v>755</v>
      </c>
      <c r="W16" s="3">
        <v>1155</v>
      </c>
      <c r="X16" s="3">
        <v>780</v>
      </c>
      <c r="Y16" s="3">
        <v>1</v>
      </c>
      <c r="Z16" s="3">
        <v>4</v>
      </c>
      <c r="AA16" s="3">
        <v>4</v>
      </c>
      <c r="AB16" s="3">
        <v>4</v>
      </c>
      <c r="AC16" s="3">
        <v>4</v>
      </c>
      <c r="AD16" s="3">
        <v>16</v>
      </c>
      <c r="AE16" s="3">
        <v>780</v>
      </c>
      <c r="AF16" s="3">
        <v>1155</v>
      </c>
      <c r="AG16" s="3">
        <v>755</v>
      </c>
      <c r="AH16" s="3">
        <v>1</v>
      </c>
      <c r="AI16" s="3">
        <v>4</v>
      </c>
      <c r="AJ16" s="3">
        <v>4</v>
      </c>
      <c r="AK16" s="3">
        <v>4</v>
      </c>
      <c r="AL16" s="3">
        <v>4</v>
      </c>
      <c r="AM16" s="3">
        <v>16</v>
      </c>
      <c r="AN16" s="3">
        <v>780</v>
      </c>
      <c r="AO16" s="3">
        <v>755</v>
      </c>
      <c r="AP16" s="3">
        <v>1155</v>
      </c>
      <c r="AQ16" s="3">
        <v>1</v>
      </c>
      <c r="AR16" s="3">
        <v>2</v>
      </c>
      <c r="AS16" s="3">
        <v>7</v>
      </c>
      <c r="AT16" s="3">
        <v>2</v>
      </c>
      <c r="AU16" s="3">
        <v>7</v>
      </c>
      <c r="AV16" s="3">
        <v>14</v>
      </c>
      <c r="AW16" s="3">
        <v>755</v>
      </c>
      <c r="AX16" s="3">
        <v>780</v>
      </c>
      <c r="AY16" s="3">
        <v>1155</v>
      </c>
      <c r="AZ16" s="3">
        <v>1</v>
      </c>
      <c r="BA16" s="3">
        <v>2</v>
      </c>
      <c r="BB16" s="3">
        <v>7</v>
      </c>
      <c r="BC16" s="3">
        <v>2</v>
      </c>
      <c r="BD16" s="3">
        <v>7</v>
      </c>
      <c r="BE16" s="3">
        <v>14</v>
      </c>
      <c r="BF16" s="3">
        <v>1155</v>
      </c>
      <c r="BG16" s="3">
        <v>780</v>
      </c>
      <c r="BH16" s="3">
        <v>755</v>
      </c>
      <c r="BI16" s="3">
        <v>2</v>
      </c>
      <c r="BJ16" s="3">
        <v>2</v>
      </c>
      <c r="BK16" s="3">
        <v>4</v>
      </c>
      <c r="BL16" s="3">
        <v>4</v>
      </c>
      <c r="BM16" s="3">
        <v>4</v>
      </c>
      <c r="BN16" s="3">
        <v>16</v>
      </c>
    </row>
    <row r="17" spans="1:66" x14ac:dyDescent="0.3">
      <c r="A17" s="2" t="str">
        <v>1</v>
      </c>
      <c r="B17" s="2">
        <v>6</v>
      </c>
      <c r="C17" s="2">
        <v>14007839</v>
      </c>
      <c r="D17" s="2" t="str">
        <v>PASSENGER SIDE KNEE COVER RHD ASSY</v>
      </c>
      <c r="E17" s="3">
        <v>380</v>
      </c>
      <c r="F17" s="3">
        <v>110</v>
      </c>
      <c r="G17" s="3">
        <v>295</v>
      </c>
      <c r="H17" s="3">
        <v>64</v>
      </c>
      <c r="I17" s="3">
        <v>1</v>
      </c>
      <c r="J17" s="3">
        <v>64</v>
      </c>
      <c r="K17" s="3">
        <v>50</v>
      </c>
      <c r="L17" s="25" t="str">
        <v>FLC ( 1200 x 800 x 975) mm</v>
      </c>
      <c r="M17" s="3">
        <v>1155</v>
      </c>
      <c r="N17" s="3">
        <v>755</v>
      </c>
      <c r="O17" s="3">
        <v>780</v>
      </c>
      <c r="P17" s="3">
        <v>3</v>
      </c>
      <c r="Q17" s="3">
        <v>6</v>
      </c>
      <c r="R17" s="3">
        <v>2</v>
      </c>
      <c r="S17" s="3">
        <v>18</v>
      </c>
      <c r="T17" s="3">
        <v>2</v>
      </c>
      <c r="U17" s="3">
        <v>36</v>
      </c>
      <c r="V17" s="3">
        <v>755</v>
      </c>
      <c r="W17" s="3">
        <v>1155</v>
      </c>
      <c r="X17" s="3">
        <v>780</v>
      </c>
      <c r="Y17" s="3">
        <v>1</v>
      </c>
      <c r="Z17" s="3">
        <v>10</v>
      </c>
      <c r="AA17" s="3">
        <v>2</v>
      </c>
      <c r="AB17" s="3">
        <v>10</v>
      </c>
      <c r="AC17" s="3">
        <v>2</v>
      </c>
      <c r="AD17" s="3">
        <v>20</v>
      </c>
      <c r="AE17" s="3">
        <v>780</v>
      </c>
      <c r="AF17" s="3">
        <v>1155</v>
      </c>
      <c r="AG17" s="3">
        <v>755</v>
      </c>
      <c r="AH17" s="3">
        <v>2</v>
      </c>
      <c r="AI17" s="3">
        <v>10</v>
      </c>
      <c r="AJ17" s="3">
        <v>2</v>
      </c>
      <c r="AK17" s="3">
        <v>20</v>
      </c>
      <c r="AL17" s="3">
        <v>2</v>
      </c>
      <c r="AM17" s="3">
        <v>40</v>
      </c>
      <c r="AN17" s="3">
        <v>780</v>
      </c>
      <c r="AO17" s="3">
        <v>755</v>
      </c>
      <c r="AP17" s="3">
        <v>1155</v>
      </c>
      <c r="AQ17" s="3">
        <v>2</v>
      </c>
      <c r="AR17" s="3">
        <v>6</v>
      </c>
      <c r="AS17" s="3">
        <v>3</v>
      </c>
      <c r="AT17" s="3">
        <v>12</v>
      </c>
      <c r="AU17" s="3">
        <v>3</v>
      </c>
      <c r="AV17" s="3">
        <v>36</v>
      </c>
      <c r="AW17" s="3">
        <v>755</v>
      </c>
      <c r="AX17" s="3">
        <v>780</v>
      </c>
      <c r="AY17" s="3">
        <v>1155</v>
      </c>
      <c r="AZ17" s="3">
        <v>1</v>
      </c>
      <c r="BA17" s="3">
        <v>6</v>
      </c>
      <c r="BB17" s="3">
        <v>3</v>
      </c>
      <c r="BC17" s="3">
        <v>6</v>
      </c>
      <c r="BD17" s="3">
        <v>3</v>
      </c>
      <c r="BE17" s="3">
        <v>18</v>
      </c>
      <c r="BF17" s="3">
        <v>1155</v>
      </c>
      <c r="BG17" s="3">
        <v>780</v>
      </c>
      <c r="BH17" s="3">
        <v>755</v>
      </c>
      <c r="BI17" s="3">
        <v>3</v>
      </c>
      <c r="BJ17" s="3">
        <v>6</v>
      </c>
      <c r="BK17" s="3">
        <v>2</v>
      </c>
      <c r="BL17" s="3">
        <v>18</v>
      </c>
      <c r="BM17" s="3">
        <v>2</v>
      </c>
      <c r="BN17" s="3">
        <v>36</v>
      </c>
    </row>
    <row r="18" spans="1:66" x14ac:dyDescent="0.3">
      <c r="A18" s="2" t="str">
        <v>1</v>
      </c>
      <c r="B18" s="2">
        <v>7</v>
      </c>
      <c r="C18" s="2">
        <v>14007840</v>
      </c>
      <c r="D18" s="2" t="str">
        <v>END CAP LH ASSY</v>
      </c>
      <c r="E18" s="3">
        <v>130</v>
      </c>
      <c r="F18" s="3">
        <v>50</v>
      </c>
      <c r="G18" s="3">
        <v>385</v>
      </c>
      <c r="H18" s="3">
        <v>192</v>
      </c>
      <c r="I18" s="3">
        <v>1</v>
      </c>
      <c r="J18" s="3">
        <v>192</v>
      </c>
      <c r="K18" s="3">
        <v>18</v>
      </c>
      <c r="L18" s="25" t="str">
        <v>FLC ( 1200 x 800 x 975) mm</v>
      </c>
      <c r="M18" s="3">
        <v>1155</v>
      </c>
      <c r="N18" s="3">
        <v>755</v>
      </c>
      <c r="O18" s="3">
        <v>780</v>
      </c>
      <c r="P18" s="3">
        <v>8</v>
      </c>
      <c r="Q18" s="3">
        <v>13</v>
      </c>
      <c r="R18" s="3">
        <v>2</v>
      </c>
      <c r="S18" s="3">
        <v>104</v>
      </c>
      <c r="T18" s="3">
        <v>2</v>
      </c>
      <c r="U18" s="3">
        <v>208</v>
      </c>
      <c r="V18" s="3">
        <v>755</v>
      </c>
      <c r="W18" s="3">
        <v>1155</v>
      </c>
      <c r="X18" s="3">
        <v>780</v>
      </c>
      <c r="Y18" s="3">
        <v>5</v>
      </c>
      <c r="Z18" s="3">
        <v>21</v>
      </c>
      <c r="AA18" s="3">
        <v>2</v>
      </c>
      <c r="AB18" s="3">
        <v>105</v>
      </c>
      <c r="AC18" s="3">
        <v>2</v>
      </c>
      <c r="AD18" s="3">
        <v>210</v>
      </c>
      <c r="AE18" s="3">
        <v>780</v>
      </c>
      <c r="AF18" s="3">
        <v>1155</v>
      </c>
      <c r="AG18" s="3">
        <v>755</v>
      </c>
      <c r="AH18" s="3">
        <v>5</v>
      </c>
      <c r="AI18" s="3">
        <v>21</v>
      </c>
      <c r="AJ18" s="3">
        <v>1</v>
      </c>
      <c r="AK18" s="3">
        <v>105</v>
      </c>
      <c r="AL18" s="3">
        <v>1</v>
      </c>
      <c r="AM18" s="3">
        <v>105</v>
      </c>
      <c r="AN18" s="3">
        <v>780</v>
      </c>
      <c r="AO18" s="3">
        <v>755</v>
      </c>
      <c r="AP18" s="3">
        <v>1155</v>
      </c>
      <c r="AQ18" s="3">
        <v>5</v>
      </c>
      <c r="AR18" s="3">
        <v>13</v>
      </c>
      <c r="AS18" s="3">
        <v>2</v>
      </c>
      <c r="AT18" s="3">
        <v>65</v>
      </c>
      <c r="AU18" s="3">
        <v>2</v>
      </c>
      <c r="AV18" s="3">
        <v>130</v>
      </c>
      <c r="AW18" s="3">
        <v>755</v>
      </c>
      <c r="AX18" s="3">
        <v>780</v>
      </c>
      <c r="AY18" s="3">
        <v>1155</v>
      </c>
      <c r="AZ18" s="3">
        <v>5</v>
      </c>
      <c r="BA18" s="3">
        <v>14</v>
      </c>
      <c r="BB18" s="3">
        <v>2</v>
      </c>
      <c r="BC18" s="3">
        <v>70</v>
      </c>
      <c r="BD18" s="3">
        <v>2</v>
      </c>
      <c r="BE18" s="3">
        <v>140</v>
      </c>
      <c r="BF18" s="3">
        <v>1155</v>
      </c>
      <c r="BG18" s="3">
        <v>780</v>
      </c>
      <c r="BH18" s="3">
        <v>755</v>
      </c>
      <c r="BI18" s="3">
        <v>8</v>
      </c>
      <c r="BJ18" s="3">
        <v>14</v>
      </c>
      <c r="BK18" s="3">
        <v>1</v>
      </c>
      <c r="BL18" s="3">
        <v>112</v>
      </c>
      <c r="BM18" s="3">
        <v>1</v>
      </c>
      <c r="BN18" s="3">
        <v>112</v>
      </c>
    </row>
    <row r="19" spans="1:66" x14ac:dyDescent="0.3">
      <c r="A19" s="2" t="str">
        <v>1</v>
      </c>
      <c r="B19" s="2">
        <v>8</v>
      </c>
      <c r="C19" s="2">
        <v>14007841</v>
      </c>
      <c r="D19" s="2" t="str">
        <v>END CAP RH ASSY</v>
      </c>
      <c r="E19" s="3">
        <v>130</v>
      </c>
      <c r="F19" s="3">
        <v>50</v>
      </c>
      <c r="G19" s="3">
        <v>385</v>
      </c>
      <c r="H19" s="3">
        <v>192</v>
      </c>
      <c r="I19" s="3">
        <v>1</v>
      </c>
      <c r="J19" s="3">
        <v>192</v>
      </c>
      <c r="K19" s="3">
        <v>18</v>
      </c>
      <c r="L19" s="25" t="str">
        <v>FLC ( 1200 x 800 x 975) mm</v>
      </c>
      <c r="M19" s="3">
        <v>1155</v>
      </c>
      <c r="N19" s="3">
        <v>755</v>
      </c>
      <c r="O19" s="3">
        <v>780</v>
      </c>
      <c r="P19" s="3">
        <v>8</v>
      </c>
      <c r="Q19" s="3">
        <v>13</v>
      </c>
      <c r="R19" s="3">
        <v>2</v>
      </c>
      <c r="S19" s="3">
        <v>104</v>
      </c>
      <c r="T19" s="3">
        <v>2</v>
      </c>
      <c r="U19" s="3">
        <v>208</v>
      </c>
      <c r="V19" s="3">
        <v>755</v>
      </c>
      <c r="W19" s="3">
        <v>1155</v>
      </c>
      <c r="X19" s="3">
        <v>780</v>
      </c>
      <c r="Y19" s="3">
        <v>5</v>
      </c>
      <c r="Z19" s="3">
        <v>21</v>
      </c>
      <c r="AA19" s="3">
        <v>2</v>
      </c>
      <c r="AB19" s="3">
        <v>105</v>
      </c>
      <c r="AC19" s="3">
        <v>2</v>
      </c>
      <c r="AD19" s="3">
        <v>210</v>
      </c>
      <c r="AE19" s="3">
        <v>780</v>
      </c>
      <c r="AF19" s="3">
        <v>1155</v>
      </c>
      <c r="AG19" s="3">
        <v>755</v>
      </c>
      <c r="AH19" s="3">
        <v>5</v>
      </c>
      <c r="AI19" s="3">
        <v>21</v>
      </c>
      <c r="AJ19" s="3">
        <v>1</v>
      </c>
      <c r="AK19" s="3">
        <v>105</v>
      </c>
      <c r="AL19" s="3">
        <v>1</v>
      </c>
      <c r="AM19" s="3">
        <v>105</v>
      </c>
      <c r="AN19" s="3">
        <v>780</v>
      </c>
      <c r="AO19" s="3">
        <v>755</v>
      </c>
      <c r="AP19" s="3">
        <v>1155</v>
      </c>
      <c r="AQ19" s="3">
        <v>5</v>
      </c>
      <c r="AR19" s="3">
        <v>13</v>
      </c>
      <c r="AS19" s="3">
        <v>2</v>
      </c>
      <c r="AT19" s="3">
        <v>65</v>
      </c>
      <c r="AU19" s="3">
        <v>2</v>
      </c>
      <c r="AV19" s="3">
        <v>130</v>
      </c>
      <c r="AW19" s="3">
        <v>755</v>
      </c>
      <c r="AX19" s="3">
        <v>780</v>
      </c>
      <c r="AY19" s="3">
        <v>1155</v>
      </c>
      <c r="AZ19" s="3">
        <v>5</v>
      </c>
      <c r="BA19" s="3">
        <v>14</v>
      </c>
      <c r="BB19" s="3">
        <v>2</v>
      </c>
      <c r="BC19" s="3">
        <v>70</v>
      </c>
      <c r="BD19" s="3">
        <v>2</v>
      </c>
      <c r="BE19" s="3">
        <v>140</v>
      </c>
      <c r="BF19" s="3">
        <v>1155</v>
      </c>
      <c r="BG19" s="3">
        <v>780</v>
      </c>
      <c r="BH19" s="3">
        <v>755</v>
      </c>
      <c r="BI19" s="3">
        <v>8</v>
      </c>
      <c r="BJ19" s="3">
        <v>14</v>
      </c>
      <c r="BK19" s="3">
        <v>1</v>
      </c>
      <c r="BL19" s="3">
        <v>112</v>
      </c>
      <c r="BM19" s="3">
        <v>1</v>
      </c>
      <c r="BN19" s="3">
        <v>112</v>
      </c>
    </row>
    <row r="20" spans="1:66" x14ac:dyDescent="0.3">
      <c r="A20" s="2" t="str">
        <v>1</v>
      </c>
      <c r="B20" s="2">
        <v>9</v>
      </c>
      <c r="C20" s="2">
        <v>14007842</v>
      </c>
      <c r="D20" s="2" t="str">
        <v>DRIVER SIDE KNEE COVER RHD ASSY</v>
      </c>
      <c r="E20" s="3">
        <v>170</v>
      </c>
      <c r="F20" s="3">
        <v>70</v>
      </c>
      <c r="G20" s="3">
        <v>265</v>
      </c>
      <c r="H20" s="3">
        <v>80</v>
      </c>
      <c r="I20" s="3">
        <v>1</v>
      </c>
      <c r="J20" s="3">
        <v>80</v>
      </c>
      <c r="K20" s="3">
        <v>40</v>
      </c>
      <c r="L20" s="25" t="str">
        <v>FLC ( 1200 x 800 x 975) mm</v>
      </c>
      <c r="M20" s="3">
        <v>1155</v>
      </c>
      <c r="N20" s="3">
        <v>755</v>
      </c>
      <c r="O20" s="3">
        <v>780</v>
      </c>
      <c r="P20" s="3">
        <v>6</v>
      </c>
      <c r="Q20" s="3">
        <v>10</v>
      </c>
      <c r="R20" s="3">
        <v>2</v>
      </c>
      <c r="S20" s="3">
        <v>60</v>
      </c>
      <c r="T20" s="3">
        <v>2</v>
      </c>
      <c r="U20" s="3">
        <v>120</v>
      </c>
      <c r="V20" s="3">
        <v>755</v>
      </c>
      <c r="W20" s="3">
        <v>1155</v>
      </c>
      <c r="X20" s="3">
        <v>780</v>
      </c>
      <c r="Y20" s="3">
        <v>4</v>
      </c>
      <c r="Z20" s="3">
        <v>15</v>
      </c>
      <c r="AA20" s="3">
        <v>2</v>
      </c>
      <c r="AB20" s="3">
        <v>60</v>
      </c>
      <c r="AC20" s="3">
        <v>2</v>
      </c>
      <c r="AD20" s="3">
        <v>120</v>
      </c>
      <c r="AE20" s="3">
        <v>780</v>
      </c>
      <c r="AF20" s="3">
        <v>1155</v>
      </c>
      <c r="AG20" s="3">
        <v>755</v>
      </c>
      <c r="AH20" s="3">
        <v>4</v>
      </c>
      <c r="AI20" s="3">
        <v>15</v>
      </c>
      <c r="AJ20" s="3">
        <v>2</v>
      </c>
      <c r="AK20" s="3">
        <v>60</v>
      </c>
      <c r="AL20" s="3">
        <v>2</v>
      </c>
      <c r="AM20" s="3">
        <v>120</v>
      </c>
      <c r="AN20" s="3">
        <v>780</v>
      </c>
      <c r="AO20" s="3">
        <v>755</v>
      </c>
      <c r="AP20" s="3">
        <v>1155</v>
      </c>
      <c r="AQ20" s="3">
        <v>4</v>
      </c>
      <c r="AR20" s="3">
        <v>10</v>
      </c>
      <c r="AS20" s="3">
        <v>4</v>
      </c>
      <c r="AT20" s="3">
        <v>40</v>
      </c>
      <c r="AU20" s="3">
        <v>4</v>
      </c>
      <c r="AV20" s="3">
        <v>160</v>
      </c>
      <c r="AW20" s="3">
        <v>755</v>
      </c>
      <c r="AX20" s="3">
        <v>780</v>
      </c>
      <c r="AY20" s="3">
        <v>1155</v>
      </c>
      <c r="AZ20" s="3">
        <v>4</v>
      </c>
      <c r="BA20" s="3">
        <v>10</v>
      </c>
      <c r="BB20" s="3">
        <v>4</v>
      </c>
      <c r="BC20" s="3">
        <v>40</v>
      </c>
      <c r="BD20" s="3">
        <v>4</v>
      </c>
      <c r="BE20" s="3">
        <v>160</v>
      </c>
      <c r="BF20" s="3">
        <v>1155</v>
      </c>
      <c r="BG20" s="3">
        <v>780</v>
      </c>
      <c r="BH20" s="3">
        <v>755</v>
      </c>
      <c r="BI20" s="3">
        <v>6</v>
      </c>
      <c r="BJ20" s="3">
        <v>10</v>
      </c>
      <c r="BK20" s="3">
        <v>2</v>
      </c>
      <c r="BL20" s="3">
        <v>60</v>
      </c>
      <c r="BM20" s="3">
        <v>2</v>
      </c>
      <c r="BN20" s="3">
        <v>120</v>
      </c>
    </row>
    <row r="21" spans="1:66" x14ac:dyDescent="0.3">
      <c r="A21" s="2" t="str">
        <v>1</v>
      </c>
      <c r="B21" s="2">
        <v>10</v>
      </c>
      <c r="C21" s="2">
        <v>14007843</v>
      </c>
      <c r="D21" s="2" t="str">
        <v>DIN_BIN</v>
      </c>
      <c r="E21" s="3">
        <v>225</v>
      </c>
      <c r="F21" s="3">
        <v>70</v>
      </c>
      <c r="G21" s="3">
        <v>310</v>
      </c>
      <c r="H21" s="3">
        <v>192</v>
      </c>
      <c r="I21" s="3">
        <v>3</v>
      </c>
      <c r="J21" s="3">
        <v>576</v>
      </c>
      <c r="K21" s="3">
        <v>6</v>
      </c>
      <c r="L21" s="25" t="str">
        <v>FLC ( 1200 x 800 x 975) mm</v>
      </c>
      <c r="M21" s="3">
        <v>1155</v>
      </c>
      <c r="N21" s="3">
        <v>755</v>
      </c>
      <c r="O21" s="3">
        <v>780</v>
      </c>
      <c r="P21" s="3">
        <v>5</v>
      </c>
      <c r="Q21" s="3">
        <v>10</v>
      </c>
      <c r="R21" s="3">
        <v>2</v>
      </c>
      <c r="S21" s="3">
        <v>50</v>
      </c>
      <c r="T21" s="3">
        <v>2</v>
      </c>
      <c r="U21" s="3">
        <v>100</v>
      </c>
      <c r="V21" s="3">
        <v>755</v>
      </c>
      <c r="W21" s="3">
        <v>1155</v>
      </c>
      <c r="X21" s="3">
        <v>780</v>
      </c>
      <c r="Y21" s="3">
        <v>3</v>
      </c>
      <c r="Z21" s="3">
        <v>15</v>
      </c>
      <c r="AA21" s="3">
        <v>2</v>
      </c>
      <c r="AB21" s="3">
        <v>45</v>
      </c>
      <c r="AC21" s="3">
        <v>2</v>
      </c>
      <c r="AD21" s="3">
        <v>90</v>
      </c>
      <c r="AE21" s="3">
        <v>780</v>
      </c>
      <c r="AF21" s="3">
        <v>1155</v>
      </c>
      <c r="AG21" s="3">
        <v>755</v>
      </c>
      <c r="AH21" s="3">
        <v>3</v>
      </c>
      <c r="AI21" s="3">
        <v>15</v>
      </c>
      <c r="AJ21" s="3">
        <v>2</v>
      </c>
      <c r="AK21" s="3">
        <v>45</v>
      </c>
      <c r="AL21" s="3">
        <v>2</v>
      </c>
      <c r="AM21" s="3">
        <v>90</v>
      </c>
      <c r="AN21" s="3">
        <v>780</v>
      </c>
      <c r="AO21" s="3">
        <v>755</v>
      </c>
      <c r="AP21" s="3">
        <v>1155</v>
      </c>
      <c r="AQ21" s="3">
        <v>3</v>
      </c>
      <c r="AR21" s="3">
        <v>10</v>
      </c>
      <c r="AS21" s="3">
        <v>3</v>
      </c>
      <c r="AT21" s="3">
        <v>30</v>
      </c>
      <c r="AU21" s="3">
        <v>3</v>
      </c>
      <c r="AV21" s="3">
        <v>90</v>
      </c>
      <c r="AW21" s="3">
        <v>755</v>
      </c>
      <c r="AX21" s="3">
        <v>780</v>
      </c>
      <c r="AY21" s="3">
        <v>1155</v>
      </c>
      <c r="AZ21" s="3">
        <v>3</v>
      </c>
      <c r="BA21" s="3">
        <v>10</v>
      </c>
      <c r="BB21" s="3">
        <v>3</v>
      </c>
      <c r="BC21" s="3">
        <v>30</v>
      </c>
      <c r="BD21" s="3">
        <v>3</v>
      </c>
      <c r="BE21" s="3">
        <v>90</v>
      </c>
      <c r="BF21" s="3">
        <v>1155</v>
      </c>
      <c r="BG21" s="3">
        <v>780</v>
      </c>
      <c r="BH21" s="3">
        <v>755</v>
      </c>
      <c r="BI21" s="3">
        <v>5</v>
      </c>
      <c r="BJ21" s="3">
        <v>10</v>
      </c>
      <c r="BK21" s="3">
        <v>2</v>
      </c>
      <c r="BL21" s="3">
        <v>50</v>
      </c>
      <c r="BM21" s="3">
        <v>2</v>
      </c>
      <c r="BN21" s="3">
        <v>100</v>
      </c>
    </row>
    <row r="22" spans="1:66" x14ac:dyDescent="0.3">
      <c r="A22" s="2" t="str">
        <v>1</v>
      </c>
      <c r="B22" s="2">
        <v>1</v>
      </c>
      <c r="C22" s="2">
        <v>14007834</v>
      </c>
      <c r="D22" s="2" t="str">
        <v>2.0_M_CENTER BEZEL PREMIUM ASSY</v>
      </c>
      <c r="E22" s="3">
        <v>274</v>
      </c>
      <c r="F22" s="3">
        <v>76</v>
      </c>
      <c r="G22" s="3">
        <v>620</v>
      </c>
      <c r="H22" s="3">
        <v>44</v>
      </c>
      <c r="I22" s="3">
        <v>1</v>
      </c>
      <c r="J22" s="3">
        <v>44</v>
      </c>
      <c r="K22" s="3">
        <v>80</v>
      </c>
      <c r="L22" s="25" t="str">
        <v>FCS (810 x 760 x 860)mm</v>
      </c>
      <c r="M22" s="3">
        <v>780</v>
      </c>
      <c r="N22" s="3">
        <v>730</v>
      </c>
      <c r="O22" s="3">
        <v>720</v>
      </c>
      <c r="P22" s="3">
        <v>2</v>
      </c>
      <c r="Q22" s="3">
        <v>9</v>
      </c>
      <c r="R22" s="3">
        <v>1</v>
      </c>
      <c r="S22" s="3">
        <v>18</v>
      </c>
      <c r="T22" s="3">
        <v>1</v>
      </c>
      <c r="U22" s="3">
        <v>18</v>
      </c>
      <c r="V22" s="3">
        <v>730</v>
      </c>
      <c r="W22" s="3">
        <v>780</v>
      </c>
      <c r="X22" s="3">
        <v>720</v>
      </c>
      <c r="Y22" s="3">
        <v>2</v>
      </c>
      <c r="Z22" s="3">
        <v>9</v>
      </c>
      <c r="AA22" s="3">
        <v>1</v>
      </c>
      <c r="AB22" s="3">
        <v>18</v>
      </c>
      <c r="AC22" s="3">
        <v>1</v>
      </c>
      <c r="AD22" s="3">
        <v>18</v>
      </c>
      <c r="AE22" s="3">
        <v>720</v>
      </c>
      <c r="AF22" s="3">
        <v>780</v>
      </c>
      <c r="AG22" s="3">
        <v>730</v>
      </c>
      <c r="AH22" s="3">
        <v>2</v>
      </c>
      <c r="AI22" s="3">
        <v>9</v>
      </c>
      <c r="AJ22" s="3">
        <v>1</v>
      </c>
      <c r="AK22" s="3">
        <v>18</v>
      </c>
      <c r="AL22" s="3">
        <v>1</v>
      </c>
      <c r="AM22" s="3">
        <v>18</v>
      </c>
      <c r="AN22" s="3">
        <v>720</v>
      </c>
      <c r="AO22" s="3">
        <v>730</v>
      </c>
      <c r="AP22" s="3">
        <v>780</v>
      </c>
      <c r="AQ22" s="3">
        <v>2</v>
      </c>
      <c r="AR22" s="3">
        <v>9</v>
      </c>
      <c r="AS22" s="3">
        <v>1</v>
      </c>
      <c r="AT22" s="3">
        <v>18</v>
      </c>
      <c r="AU22" s="3">
        <v>1</v>
      </c>
      <c r="AV22" s="3">
        <v>18</v>
      </c>
      <c r="AW22" s="3">
        <v>730</v>
      </c>
      <c r="AX22" s="3">
        <v>720</v>
      </c>
      <c r="AY22" s="3">
        <v>780</v>
      </c>
      <c r="AZ22" s="3">
        <v>2</v>
      </c>
      <c r="BA22" s="3">
        <v>8</v>
      </c>
      <c r="BB22" s="3">
        <v>1</v>
      </c>
      <c r="BC22" s="3">
        <v>16</v>
      </c>
      <c r="BD22" s="3">
        <v>1</v>
      </c>
      <c r="BE22" s="3">
        <v>16</v>
      </c>
      <c r="BF22" s="3">
        <v>780</v>
      </c>
      <c r="BG22" s="3">
        <v>720</v>
      </c>
      <c r="BH22" s="3">
        <v>730</v>
      </c>
      <c r="BI22" s="3">
        <v>2</v>
      </c>
      <c r="BJ22" s="3">
        <v>8</v>
      </c>
      <c r="BK22" s="3">
        <v>1</v>
      </c>
      <c r="BL22" s="3">
        <v>16</v>
      </c>
      <c r="BM22" s="3">
        <v>1</v>
      </c>
      <c r="BN22" s="3">
        <v>16</v>
      </c>
    </row>
    <row r="23" spans="1:66" x14ac:dyDescent="0.3">
      <c r="A23" s="2" t="str">
        <v>1</v>
      </c>
      <c r="B23" s="2">
        <v>2</v>
      </c>
      <c r="C23" s="2">
        <v>14007835</v>
      </c>
      <c r="D23" s="2" t="str">
        <v>SHROUD UPPER</v>
      </c>
      <c r="E23" s="3">
        <v>225</v>
      </c>
      <c r="F23" s="3">
        <v>125</v>
      </c>
      <c r="G23" s="3">
        <v>190</v>
      </c>
      <c r="H23" s="3">
        <v>96</v>
      </c>
      <c r="I23" s="3">
        <v>2</v>
      </c>
      <c r="J23" s="3">
        <v>192</v>
      </c>
      <c r="K23" s="3">
        <v>18</v>
      </c>
      <c r="L23" s="25" t="str">
        <v>FCS (810 x 760 x 860)mm</v>
      </c>
      <c r="M23" s="3">
        <v>780</v>
      </c>
      <c r="N23" s="3">
        <v>730</v>
      </c>
      <c r="O23" s="3">
        <v>720</v>
      </c>
      <c r="P23" s="3">
        <v>3</v>
      </c>
      <c r="Q23" s="3">
        <v>5</v>
      </c>
      <c r="R23" s="3">
        <v>3</v>
      </c>
      <c r="S23" s="3">
        <v>15</v>
      </c>
      <c r="T23" s="3">
        <v>3</v>
      </c>
      <c r="U23" s="3">
        <v>45</v>
      </c>
      <c r="V23" s="3">
        <v>730</v>
      </c>
      <c r="W23" s="3">
        <v>780</v>
      </c>
      <c r="X23" s="3">
        <v>720</v>
      </c>
      <c r="Y23" s="3">
        <v>3</v>
      </c>
      <c r="Z23" s="3">
        <v>6</v>
      </c>
      <c r="AA23" s="3">
        <v>3</v>
      </c>
      <c r="AB23" s="3">
        <v>18</v>
      </c>
      <c r="AC23" s="3">
        <v>3</v>
      </c>
      <c r="AD23" s="3">
        <v>54</v>
      </c>
      <c r="AE23" s="3">
        <v>720</v>
      </c>
      <c r="AF23" s="3">
        <v>780</v>
      </c>
      <c r="AG23" s="3">
        <v>730</v>
      </c>
      <c r="AH23" s="3">
        <v>3</v>
      </c>
      <c r="AI23" s="3">
        <v>6</v>
      </c>
      <c r="AJ23" s="3">
        <v>3</v>
      </c>
      <c r="AK23" s="3">
        <v>18</v>
      </c>
      <c r="AL23" s="3">
        <v>3</v>
      </c>
      <c r="AM23" s="3">
        <v>54</v>
      </c>
      <c r="AN23" s="3">
        <v>720</v>
      </c>
      <c r="AO23" s="3">
        <v>730</v>
      </c>
      <c r="AP23" s="3">
        <v>780</v>
      </c>
      <c r="AQ23" s="3">
        <v>3</v>
      </c>
      <c r="AR23" s="3">
        <v>5</v>
      </c>
      <c r="AS23" s="3">
        <v>4</v>
      </c>
      <c r="AT23" s="3">
        <v>15</v>
      </c>
      <c r="AU23" s="3">
        <v>4</v>
      </c>
      <c r="AV23" s="3">
        <v>60</v>
      </c>
      <c r="AW23" s="3">
        <v>730</v>
      </c>
      <c r="AX23" s="3">
        <v>720</v>
      </c>
      <c r="AY23" s="3">
        <v>780</v>
      </c>
      <c r="AZ23" s="3">
        <v>3</v>
      </c>
      <c r="BA23" s="3">
        <v>5</v>
      </c>
      <c r="BB23" s="3">
        <v>4</v>
      </c>
      <c r="BC23" s="3">
        <v>15</v>
      </c>
      <c r="BD23" s="3">
        <v>4</v>
      </c>
      <c r="BE23" s="3">
        <v>60</v>
      </c>
      <c r="BF23" s="3">
        <v>780</v>
      </c>
      <c r="BG23" s="3">
        <v>720</v>
      </c>
      <c r="BH23" s="3">
        <v>730</v>
      </c>
      <c r="BI23" s="3">
        <v>3</v>
      </c>
      <c r="BJ23" s="3">
        <v>5</v>
      </c>
      <c r="BK23" s="3">
        <v>3</v>
      </c>
      <c r="BL23" s="3">
        <v>15</v>
      </c>
      <c r="BM23" s="3">
        <v>3</v>
      </c>
      <c r="BN23" s="3">
        <v>45</v>
      </c>
    </row>
    <row r="24" spans="1:66" x14ac:dyDescent="0.3">
      <c r="A24" s="2" t="str">
        <v>1</v>
      </c>
      <c r="B24" s="2">
        <v>3</v>
      </c>
      <c r="C24" s="2">
        <v>14007836</v>
      </c>
      <c r="D24" s="2" t="str">
        <v>SHROUD LOWER</v>
      </c>
      <c r="E24" s="3">
        <v>435</v>
      </c>
      <c r="F24" s="3">
        <v>100</v>
      </c>
      <c r="G24" s="3">
        <v>210</v>
      </c>
      <c r="H24" s="3">
        <v>48</v>
      </c>
      <c r="I24" s="3">
        <v>1</v>
      </c>
      <c r="J24" s="3">
        <v>48</v>
      </c>
      <c r="K24" s="3">
        <v>75</v>
      </c>
      <c r="L24" s="25" t="str">
        <v>FCS (810 x 760 x 860)mm</v>
      </c>
      <c r="M24" s="3">
        <v>780</v>
      </c>
      <c r="N24" s="3">
        <v>730</v>
      </c>
      <c r="O24" s="3">
        <v>720</v>
      </c>
      <c r="P24" s="3">
        <v>1</v>
      </c>
      <c r="Q24" s="3">
        <v>6</v>
      </c>
      <c r="R24" s="3">
        <v>3</v>
      </c>
      <c r="S24" s="3">
        <v>6</v>
      </c>
      <c r="T24" s="3">
        <v>3</v>
      </c>
      <c r="U24" s="3">
        <v>18</v>
      </c>
      <c r="V24" s="3">
        <v>730</v>
      </c>
      <c r="W24" s="3">
        <v>780</v>
      </c>
      <c r="X24" s="3">
        <v>720</v>
      </c>
      <c r="Y24" s="3">
        <v>1</v>
      </c>
      <c r="Z24" s="3">
        <v>7</v>
      </c>
      <c r="AA24" s="3">
        <v>3</v>
      </c>
      <c r="AB24" s="3">
        <v>7</v>
      </c>
      <c r="AC24" s="3">
        <v>3</v>
      </c>
      <c r="AD24" s="3">
        <v>21</v>
      </c>
      <c r="AE24" s="3">
        <v>720</v>
      </c>
      <c r="AF24" s="3">
        <v>780</v>
      </c>
      <c r="AG24" s="3">
        <v>730</v>
      </c>
      <c r="AH24" s="3">
        <v>1</v>
      </c>
      <c r="AI24" s="3">
        <v>7</v>
      </c>
      <c r="AJ24" s="3">
        <v>3</v>
      </c>
      <c r="AK24" s="3">
        <v>7</v>
      </c>
      <c r="AL24" s="3">
        <v>3</v>
      </c>
      <c r="AM24" s="3">
        <v>21</v>
      </c>
      <c r="AN24" s="3">
        <v>720</v>
      </c>
      <c r="AO24" s="3">
        <v>730</v>
      </c>
      <c r="AP24" s="3">
        <v>780</v>
      </c>
      <c r="AQ24" s="3">
        <v>1</v>
      </c>
      <c r="AR24" s="3">
        <v>6</v>
      </c>
      <c r="AS24" s="3">
        <v>3</v>
      </c>
      <c r="AT24" s="3">
        <v>6</v>
      </c>
      <c r="AU24" s="3">
        <v>3</v>
      </c>
      <c r="AV24" s="3">
        <v>18</v>
      </c>
      <c r="AW24" s="3">
        <v>730</v>
      </c>
      <c r="AX24" s="3">
        <v>720</v>
      </c>
      <c r="AY24" s="3">
        <v>780</v>
      </c>
      <c r="AZ24" s="3">
        <v>1</v>
      </c>
      <c r="BA24" s="3">
        <v>6</v>
      </c>
      <c r="BB24" s="3">
        <v>3</v>
      </c>
      <c r="BC24" s="3">
        <v>6</v>
      </c>
      <c r="BD24" s="3">
        <v>3</v>
      </c>
      <c r="BE24" s="3">
        <v>18</v>
      </c>
      <c r="BF24" s="3">
        <v>780</v>
      </c>
      <c r="BG24" s="3">
        <v>720</v>
      </c>
      <c r="BH24" s="3">
        <v>730</v>
      </c>
      <c r="BI24" s="3">
        <v>1</v>
      </c>
      <c r="BJ24" s="3">
        <v>6</v>
      </c>
      <c r="BK24" s="3">
        <v>3</v>
      </c>
      <c r="BL24" s="3">
        <v>6</v>
      </c>
      <c r="BM24" s="3">
        <v>3</v>
      </c>
      <c r="BN24" s="3">
        <v>18</v>
      </c>
    </row>
    <row r="25" spans="1:66" x14ac:dyDescent="0.3">
      <c r="A25" s="2" t="str">
        <v>1</v>
      </c>
      <c r="B25" s="2">
        <v>4</v>
      </c>
      <c r="C25" s="2">
        <v>14007837</v>
      </c>
      <c r="D25" s="2" t="str">
        <v>CLUSTER BEZEL LOWER ASSY</v>
      </c>
      <c r="E25" s="3">
        <v>365</v>
      </c>
      <c r="F25" s="3">
        <v>63</v>
      </c>
      <c r="G25" s="3">
        <v>225</v>
      </c>
      <c r="H25" s="3">
        <v>96</v>
      </c>
      <c r="I25" s="3">
        <v>1</v>
      </c>
      <c r="J25" s="3">
        <v>96</v>
      </c>
      <c r="K25" s="3">
        <v>38</v>
      </c>
      <c r="L25" s="25" t="str">
        <v>FCS (810 x 760 x 860)mm</v>
      </c>
      <c r="M25" s="3">
        <v>780</v>
      </c>
      <c r="N25" s="3">
        <v>730</v>
      </c>
      <c r="O25" s="3">
        <v>720</v>
      </c>
      <c r="P25" s="3">
        <v>2</v>
      </c>
      <c r="Q25" s="3">
        <v>10</v>
      </c>
      <c r="R25" s="3">
        <v>3</v>
      </c>
      <c r="S25" s="3">
        <v>20</v>
      </c>
      <c r="T25" s="3">
        <v>3</v>
      </c>
      <c r="U25" s="3">
        <v>60</v>
      </c>
      <c r="V25" s="3">
        <v>730</v>
      </c>
      <c r="W25" s="3">
        <v>780</v>
      </c>
      <c r="X25" s="3">
        <v>720</v>
      </c>
      <c r="Y25" s="3">
        <v>1</v>
      </c>
      <c r="Z25" s="3">
        <v>11</v>
      </c>
      <c r="AA25" s="3">
        <v>3</v>
      </c>
      <c r="AB25" s="3">
        <v>11</v>
      </c>
      <c r="AC25" s="3">
        <v>3</v>
      </c>
      <c r="AD25" s="3">
        <v>33</v>
      </c>
      <c r="AE25" s="3">
        <v>720</v>
      </c>
      <c r="AF25" s="3">
        <v>780</v>
      </c>
      <c r="AG25" s="3">
        <v>730</v>
      </c>
      <c r="AH25" s="3">
        <v>1</v>
      </c>
      <c r="AI25" s="3">
        <v>11</v>
      </c>
      <c r="AJ25" s="3">
        <v>3</v>
      </c>
      <c r="AK25" s="3">
        <v>11</v>
      </c>
      <c r="AL25" s="3">
        <v>3</v>
      </c>
      <c r="AM25" s="3">
        <v>33</v>
      </c>
      <c r="AN25" s="3">
        <v>720</v>
      </c>
      <c r="AO25" s="3">
        <v>730</v>
      </c>
      <c r="AP25" s="3">
        <v>780</v>
      </c>
      <c r="AQ25" s="3">
        <v>1</v>
      </c>
      <c r="AR25" s="3">
        <v>10</v>
      </c>
      <c r="AS25" s="3">
        <v>3</v>
      </c>
      <c r="AT25" s="3">
        <v>10</v>
      </c>
      <c r="AU25" s="3">
        <v>3</v>
      </c>
      <c r="AV25" s="3">
        <v>30</v>
      </c>
      <c r="AW25" s="3">
        <v>730</v>
      </c>
      <c r="AX25" s="3">
        <v>720</v>
      </c>
      <c r="AY25" s="3">
        <v>780</v>
      </c>
      <c r="AZ25" s="3">
        <v>1</v>
      </c>
      <c r="BA25" s="3">
        <v>10</v>
      </c>
      <c r="BB25" s="3">
        <v>3</v>
      </c>
      <c r="BC25" s="3">
        <v>10</v>
      </c>
      <c r="BD25" s="3">
        <v>3</v>
      </c>
      <c r="BE25" s="3">
        <v>30</v>
      </c>
      <c r="BF25" s="3">
        <v>780</v>
      </c>
      <c r="BG25" s="3">
        <v>720</v>
      </c>
      <c r="BH25" s="3">
        <v>730</v>
      </c>
      <c r="BI25" s="3">
        <v>2</v>
      </c>
      <c r="BJ25" s="3">
        <v>10</v>
      </c>
      <c r="BK25" s="3">
        <v>3</v>
      </c>
      <c r="BL25" s="3">
        <v>20</v>
      </c>
      <c r="BM25" s="3">
        <v>3</v>
      </c>
      <c r="BN25" s="3">
        <v>60</v>
      </c>
    </row>
    <row r="26" spans="1:66" x14ac:dyDescent="0.3">
      <c r="A26" s="2" t="str">
        <v>1</v>
      </c>
      <c r="B26" s="2">
        <v>5</v>
      </c>
      <c r="C26" s="2">
        <v>14007838</v>
      </c>
      <c r="D26" s="2" t="str">
        <v>DRIVER SIDE BOOSTER COVER ASSY</v>
      </c>
      <c r="E26" s="3">
        <v>410</v>
      </c>
      <c r="F26" s="3">
        <v>280</v>
      </c>
      <c r="G26" s="3">
        <v>160</v>
      </c>
      <c r="H26" s="3">
        <v>16</v>
      </c>
      <c r="I26" s="3">
        <v>1</v>
      </c>
      <c r="J26" s="3">
        <v>16</v>
      </c>
      <c r="K26" s="3">
        <v>202</v>
      </c>
      <c r="L26" s="25" t="str">
        <v>FCS (810 x 760 x 860)mm</v>
      </c>
      <c r="M26" s="3">
        <v>780</v>
      </c>
      <c r="N26" s="3">
        <v>730</v>
      </c>
      <c r="O26" s="3">
        <v>720</v>
      </c>
      <c r="P26" s="3">
        <v>1</v>
      </c>
      <c r="Q26" s="3">
        <v>2</v>
      </c>
      <c r="R26" s="3">
        <v>4</v>
      </c>
      <c r="S26" s="3">
        <v>2</v>
      </c>
      <c r="T26" s="3">
        <v>4</v>
      </c>
      <c r="U26" s="3">
        <v>8</v>
      </c>
      <c r="V26" s="3">
        <v>730</v>
      </c>
      <c r="W26" s="3">
        <v>780</v>
      </c>
      <c r="X26" s="3">
        <v>720</v>
      </c>
      <c r="Y26" s="3">
        <v>1</v>
      </c>
      <c r="Z26" s="3">
        <v>2</v>
      </c>
      <c r="AA26" s="3">
        <v>4</v>
      </c>
      <c r="AB26" s="3">
        <v>2</v>
      </c>
      <c r="AC26" s="3">
        <v>4</v>
      </c>
      <c r="AD26" s="3">
        <v>8</v>
      </c>
      <c r="AE26" s="3">
        <v>720</v>
      </c>
      <c r="AF26" s="3">
        <v>780</v>
      </c>
      <c r="AG26" s="3">
        <v>730</v>
      </c>
      <c r="AH26" s="3">
        <v>1</v>
      </c>
      <c r="AI26" s="3">
        <v>2</v>
      </c>
      <c r="AJ26" s="3">
        <v>4</v>
      </c>
      <c r="AK26" s="3">
        <v>2</v>
      </c>
      <c r="AL26" s="3">
        <v>4</v>
      </c>
      <c r="AM26" s="3">
        <v>8</v>
      </c>
      <c r="AN26" s="3">
        <v>720</v>
      </c>
      <c r="AO26" s="3">
        <v>730</v>
      </c>
      <c r="AP26" s="3">
        <v>780</v>
      </c>
      <c r="AQ26" s="3">
        <v>1</v>
      </c>
      <c r="AR26" s="3">
        <v>2</v>
      </c>
      <c r="AS26" s="3">
        <v>4</v>
      </c>
      <c r="AT26" s="3">
        <v>2</v>
      </c>
      <c r="AU26" s="3">
        <v>4</v>
      </c>
      <c r="AV26" s="3">
        <v>8</v>
      </c>
      <c r="AW26" s="3">
        <v>730</v>
      </c>
      <c r="AX26" s="3">
        <v>720</v>
      </c>
      <c r="AY26" s="3">
        <v>780</v>
      </c>
      <c r="AZ26" s="3">
        <v>1</v>
      </c>
      <c r="BA26" s="3">
        <v>2</v>
      </c>
      <c r="BB26" s="3">
        <v>4</v>
      </c>
      <c r="BC26" s="3">
        <v>2</v>
      </c>
      <c r="BD26" s="3">
        <v>4</v>
      </c>
      <c r="BE26" s="3">
        <v>8</v>
      </c>
      <c r="BF26" s="3">
        <v>780</v>
      </c>
      <c r="BG26" s="3">
        <v>720</v>
      </c>
      <c r="BH26" s="3">
        <v>730</v>
      </c>
      <c r="BI26" s="3">
        <v>1</v>
      </c>
      <c r="BJ26" s="3">
        <v>2</v>
      </c>
      <c r="BK26" s="3">
        <v>4</v>
      </c>
      <c r="BL26" s="3">
        <v>2</v>
      </c>
      <c r="BM26" s="3">
        <v>4</v>
      </c>
      <c r="BN26" s="3">
        <v>8</v>
      </c>
    </row>
    <row r="27" spans="1:66" x14ac:dyDescent="0.3">
      <c r="A27" s="2" t="str">
        <v>1</v>
      </c>
      <c r="B27" s="2">
        <v>6</v>
      </c>
      <c r="C27" s="2">
        <v>14007839</v>
      </c>
      <c r="D27" s="2" t="str">
        <v>PASSENGER SIDE KNEE COVER RHD ASSY</v>
      </c>
      <c r="E27" s="3">
        <v>380</v>
      </c>
      <c r="F27" s="3">
        <v>110</v>
      </c>
      <c r="G27" s="3">
        <v>295</v>
      </c>
      <c r="H27" s="3">
        <v>64</v>
      </c>
      <c r="I27" s="3">
        <v>1</v>
      </c>
      <c r="J27" s="3">
        <v>64</v>
      </c>
      <c r="K27" s="3">
        <v>50</v>
      </c>
      <c r="L27" s="25" t="str">
        <v>FCS (810 x 760 x 860)mm</v>
      </c>
      <c r="M27" s="3">
        <v>780</v>
      </c>
      <c r="N27" s="3">
        <v>730</v>
      </c>
      <c r="O27" s="3">
        <v>720</v>
      </c>
      <c r="P27" s="3">
        <v>2</v>
      </c>
      <c r="Q27" s="3">
        <v>6</v>
      </c>
      <c r="R27" s="3">
        <v>2</v>
      </c>
      <c r="S27" s="3">
        <v>12</v>
      </c>
      <c r="T27" s="3">
        <v>2</v>
      </c>
      <c r="U27" s="3">
        <v>24</v>
      </c>
      <c r="V27" s="3">
        <v>730</v>
      </c>
      <c r="W27" s="3">
        <v>780</v>
      </c>
      <c r="X27" s="3">
        <v>720</v>
      </c>
      <c r="Y27" s="3">
        <v>1</v>
      </c>
      <c r="Z27" s="3">
        <v>6</v>
      </c>
      <c r="AA27" s="3">
        <v>2</v>
      </c>
      <c r="AB27" s="3">
        <v>6</v>
      </c>
      <c r="AC27" s="3">
        <v>2</v>
      </c>
      <c r="AD27" s="3">
        <v>12</v>
      </c>
      <c r="AE27" s="3">
        <v>720</v>
      </c>
      <c r="AF27" s="3">
        <v>780</v>
      </c>
      <c r="AG27" s="3">
        <v>730</v>
      </c>
      <c r="AH27" s="3">
        <v>1</v>
      </c>
      <c r="AI27" s="3">
        <v>6</v>
      </c>
      <c r="AJ27" s="3">
        <v>2</v>
      </c>
      <c r="AK27" s="3">
        <v>6</v>
      </c>
      <c r="AL27" s="3">
        <v>2</v>
      </c>
      <c r="AM27" s="3">
        <v>12</v>
      </c>
      <c r="AN27" s="3">
        <v>720</v>
      </c>
      <c r="AO27" s="3">
        <v>730</v>
      </c>
      <c r="AP27" s="3">
        <v>780</v>
      </c>
      <c r="AQ27" s="3">
        <v>1</v>
      </c>
      <c r="AR27" s="3">
        <v>6</v>
      </c>
      <c r="AS27" s="3">
        <v>2</v>
      </c>
      <c r="AT27" s="3">
        <v>6</v>
      </c>
      <c r="AU27" s="3">
        <v>2</v>
      </c>
      <c r="AV27" s="3">
        <v>12</v>
      </c>
      <c r="AW27" s="3">
        <v>730</v>
      </c>
      <c r="AX27" s="3">
        <v>720</v>
      </c>
      <c r="AY27" s="3">
        <v>780</v>
      </c>
      <c r="AZ27" s="3">
        <v>1</v>
      </c>
      <c r="BA27" s="3">
        <v>6</v>
      </c>
      <c r="BB27" s="3">
        <v>2</v>
      </c>
      <c r="BC27" s="3">
        <v>6</v>
      </c>
      <c r="BD27" s="3">
        <v>2</v>
      </c>
      <c r="BE27" s="3">
        <v>12</v>
      </c>
      <c r="BF27" s="3">
        <v>780</v>
      </c>
      <c r="BG27" s="3">
        <v>720</v>
      </c>
      <c r="BH27" s="3">
        <v>730</v>
      </c>
      <c r="BI27" s="3">
        <v>2</v>
      </c>
      <c r="BJ27" s="3">
        <v>6</v>
      </c>
      <c r="BK27" s="3">
        <v>2</v>
      </c>
      <c r="BL27" s="3">
        <v>12</v>
      </c>
      <c r="BM27" s="3">
        <v>2</v>
      </c>
      <c r="BN27" s="3">
        <v>24</v>
      </c>
    </row>
    <row r="28" spans="1:66" x14ac:dyDescent="0.3">
      <c r="A28" s="2" t="str">
        <v>1</v>
      </c>
      <c r="B28" s="2">
        <v>7</v>
      </c>
      <c r="C28" s="2">
        <v>14007840</v>
      </c>
      <c r="D28" s="2" t="str">
        <v>END CAP LH ASSY</v>
      </c>
      <c r="E28" s="3">
        <v>130</v>
      </c>
      <c r="F28" s="3">
        <v>50</v>
      </c>
      <c r="G28" s="3">
        <v>385</v>
      </c>
      <c r="H28" s="3">
        <v>192</v>
      </c>
      <c r="I28" s="3">
        <v>1</v>
      </c>
      <c r="J28" s="3">
        <v>192</v>
      </c>
      <c r="K28" s="3">
        <v>18</v>
      </c>
      <c r="L28" s="25" t="str">
        <v>FCS (810 x 760 x 860)mm</v>
      </c>
      <c r="M28" s="3">
        <v>780</v>
      </c>
      <c r="N28" s="3">
        <v>730</v>
      </c>
      <c r="O28" s="3">
        <v>720</v>
      </c>
      <c r="P28" s="3">
        <v>5</v>
      </c>
      <c r="Q28" s="3">
        <v>13</v>
      </c>
      <c r="R28" s="3">
        <v>1</v>
      </c>
      <c r="S28" s="3">
        <v>65</v>
      </c>
      <c r="T28" s="3">
        <v>1</v>
      </c>
      <c r="U28" s="3">
        <v>65</v>
      </c>
      <c r="V28" s="3">
        <v>730</v>
      </c>
      <c r="W28" s="3">
        <v>780</v>
      </c>
      <c r="X28" s="3">
        <v>720</v>
      </c>
      <c r="Y28" s="3">
        <v>5</v>
      </c>
      <c r="Z28" s="3">
        <v>14</v>
      </c>
      <c r="AA28" s="3">
        <v>1</v>
      </c>
      <c r="AB28" s="3">
        <v>70</v>
      </c>
      <c r="AC28" s="3">
        <v>1</v>
      </c>
      <c r="AD28" s="3">
        <v>70</v>
      </c>
      <c r="AE28" s="3">
        <v>720</v>
      </c>
      <c r="AF28" s="3">
        <v>780</v>
      </c>
      <c r="AG28" s="3">
        <v>730</v>
      </c>
      <c r="AH28" s="3">
        <v>5</v>
      </c>
      <c r="AI28" s="3">
        <v>14</v>
      </c>
      <c r="AJ28" s="3">
        <v>1</v>
      </c>
      <c r="AK28" s="3">
        <v>70</v>
      </c>
      <c r="AL28" s="3">
        <v>1</v>
      </c>
      <c r="AM28" s="3">
        <v>70</v>
      </c>
      <c r="AN28" s="3">
        <v>720</v>
      </c>
      <c r="AO28" s="3">
        <v>730</v>
      </c>
      <c r="AP28" s="3">
        <v>780</v>
      </c>
      <c r="AQ28" s="3">
        <v>5</v>
      </c>
      <c r="AR28" s="3">
        <v>13</v>
      </c>
      <c r="AS28" s="3">
        <v>2</v>
      </c>
      <c r="AT28" s="3">
        <v>65</v>
      </c>
      <c r="AU28" s="3">
        <v>2</v>
      </c>
      <c r="AV28" s="3">
        <v>130</v>
      </c>
      <c r="AW28" s="3">
        <v>730</v>
      </c>
      <c r="AX28" s="3">
        <v>720</v>
      </c>
      <c r="AY28" s="3">
        <v>780</v>
      </c>
      <c r="AZ28" s="3">
        <v>5</v>
      </c>
      <c r="BA28" s="3">
        <v>13</v>
      </c>
      <c r="BB28" s="3">
        <v>2</v>
      </c>
      <c r="BC28" s="3">
        <v>65</v>
      </c>
      <c r="BD28" s="3">
        <v>2</v>
      </c>
      <c r="BE28" s="3">
        <v>130</v>
      </c>
      <c r="BF28" s="3">
        <v>780</v>
      </c>
      <c r="BG28" s="3">
        <v>720</v>
      </c>
      <c r="BH28" s="3">
        <v>730</v>
      </c>
      <c r="BI28" s="3">
        <v>5</v>
      </c>
      <c r="BJ28" s="3">
        <v>13</v>
      </c>
      <c r="BK28" s="3">
        <v>1</v>
      </c>
      <c r="BL28" s="3">
        <v>65</v>
      </c>
      <c r="BM28" s="3">
        <v>1</v>
      </c>
      <c r="BN28" s="3">
        <v>65</v>
      </c>
    </row>
    <row r="29" spans="1:66" x14ac:dyDescent="0.3">
      <c r="A29" s="2" t="str">
        <v>1</v>
      </c>
      <c r="B29" s="2">
        <v>8</v>
      </c>
      <c r="C29" s="2">
        <v>14007841</v>
      </c>
      <c r="D29" s="2" t="str">
        <v>END CAP RH ASSY</v>
      </c>
      <c r="E29" s="3">
        <v>130</v>
      </c>
      <c r="F29" s="3">
        <v>50</v>
      </c>
      <c r="G29" s="3">
        <v>385</v>
      </c>
      <c r="H29" s="3">
        <v>192</v>
      </c>
      <c r="I29" s="3">
        <v>1</v>
      </c>
      <c r="J29" s="3">
        <v>192</v>
      </c>
      <c r="K29" s="3">
        <v>18</v>
      </c>
      <c r="L29" s="25" t="str">
        <v>FCS (810 x 760 x 860)mm</v>
      </c>
      <c r="M29" s="3">
        <v>780</v>
      </c>
      <c r="N29" s="3">
        <v>730</v>
      </c>
      <c r="O29" s="3">
        <v>720</v>
      </c>
      <c r="P29" s="3">
        <v>5</v>
      </c>
      <c r="Q29" s="3">
        <v>13</v>
      </c>
      <c r="R29" s="3">
        <v>1</v>
      </c>
      <c r="S29" s="3">
        <v>65</v>
      </c>
      <c r="T29" s="3">
        <v>1</v>
      </c>
      <c r="U29" s="3">
        <v>65</v>
      </c>
      <c r="V29" s="3">
        <v>730</v>
      </c>
      <c r="W29" s="3">
        <v>780</v>
      </c>
      <c r="X29" s="3">
        <v>720</v>
      </c>
      <c r="Y29" s="3">
        <v>5</v>
      </c>
      <c r="Z29" s="3">
        <v>14</v>
      </c>
      <c r="AA29" s="3">
        <v>1</v>
      </c>
      <c r="AB29" s="3">
        <v>70</v>
      </c>
      <c r="AC29" s="3">
        <v>1</v>
      </c>
      <c r="AD29" s="3">
        <v>70</v>
      </c>
      <c r="AE29" s="3">
        <v>720</v>
      </c>
      <c r="AF29" s="3">
        <v>780</v>
      </c>
      <c r="AG29" s="3">
        <v>730</v>
      </c>
      <c r="AH29" s="3">
        <v>5</v>
      </c>
      <c r="AI29" s="3">
        <v>14</v>
      </c>
      <c r="AJ29" s="3">
        <v>1</v>
      </c>
      <c r="AK29" s="3">
        <v>70</v>
      </c>
      <c r="AL29" s="3">
        <v>1</v>
      </c>
      <c r="AM29" s="3">
        <v>70</v>
      </c>
      <c r="AN29" s="3">
        <v>720</v>
      </c>
      <c r="AO29" s="3">
        <v>730</v>
      </c>
      <c r="AP29" s="3">
        <v>780</v>
      </c>
      <c r="AQ29" s="3">
        <v>5</v>
      </c>
      <c r="AR29" s="3">
        <v>13</v>
      </c>
      <c r="AS29" s="3">
        <v>2</v>
      </c>
      <c r="AT29" s="3">
        <v>65</v>
      </c>
      <c r="AU29" s="3">
        <v>2</v>
      </c>
      <c r="AV29" s="3">
        <v>130</v>
      </c>
      <c r="AW29" s="3">
        <v>730</v>
      </c>
      <c r="AX29" s="3">
        <v>720</v>
      </c>
      <c r="AY29" s="3">
        <v>780</v>
      </c>
      <c r="AZ29" s="3">
        <v>5</v>
      </c>
      <c r="BA29" s="3">
        <v>13</v>
      </c>
      <c r="BB29" s="3">
        <v>2</v>
      </c>
      <c r="BC29" s="3">
        <v>65</v>
      </c>
      <c r="BD29" s="3">
        <v>2</v>
      </c>
      <c r="BE29" s="3">
        <v>130</v>
      </c>
      <c r="BF29" s="3">
        <v>780</v>
      </c>
      <c r="BG29" s="3">
        <v>720</v>
      </c>
      <c r="BH29" s="3">
        <v>730</v>
      </c>
      <c r="BI29" s="3">
        <v>5</v>
      </c>
      <c r="BJ29" s="3">
        <v>13</v>
      </c>
      <c r="BK29" s="3">
        <v>1</v>
      </c>
      <c r="BL29" s="3">
        <v>65</v>
      </c>
      <c r="BM29" s="3">
        <v>1</v>
      </c>
      <c r="BN29" s="3">
        <v>65</v>
      </c>
    </row>
    <row r="30" spans="1:66" x14ac:dyDescent="0.3">
      <c r="A30" s="2" t="str">
        <v>1</v>
      </c>
      <c r="B30" s="2">
        <v>9</v>
      </c>
      <c r="C30" s="2">
        <v>14007842</v>
      </c>
      <c r="D30" s="2" t="str">
        <v>DRIVER SIDE KNEE COVER RHD ASSY</v>
      </c>
      <c r="E30" s="3">
        <v>170</v>
      </c>
      <c r="F30" s="3">
        <v>70</v>
      </c>
      <c r="G30" s="3">
        <v>265</v>
      </c>
      <c r="H30" s="3">
        <v>80</v>
      </c>
      <c r="I30" s="3">
        <v>1</v>
      </c>
      <c r="J30" s="3">
        <v>80</v>
      </c>
      <c r="K30" s="3">
        <v>40</v>
      </c>
      <c r="L30" s="25" t="str">
        <v>FCS (810 x 760 x 860)mm</v>
      </c>
      <c r="M30" s="3">
        <v>780</v>
      </c>
      <c r="N30" s="3">
        <v>730</v>
      </c>
      <c r="O30" s="3">
        <v>720</v>
      </c>
      <c r="P30" s="3">
        <v>4</v>
      </c>
      <c r="Q30" s="3">
        <v>9</v>
      </c>
      <c r="R30" s="3">
        <v>2</v>
      </c>
      <c r="S30" s="3">
        <v>36</v>
      </c>
      <c r="T30" s="3">
        <v>2</v>
      </c>
      <c r="U30" s="3">
        <v>72</v>
      </c>
      <c r="V30" s="3">
        <v>730</v>
      </c>
      <c r="W30" s="3">
        <v>780</v>
      </c>
      <c r="X30" s="3">
        <v>720</v>
      </c>
      <c r="Y30" s="3">
        <v>4</v>
      </c>
      <c r="Z30" s="3">
        <v>10</v>
      </c>
      <c r="AA30" s="3">
        <v>2</v>
      </c>
      <c r="AB30" s="3">
        <v>40</v>
      </c>
      <c r="AC30" s="3">
        <v>2</v>
      </c>
      <c r="AD30" s="3">
        <v>80</v>
      </c>
      <c r="AE30" s="3">
        <v>720</v>
      </c>
      <c r="AF30" s="3">
        <v>780</v>
      </c>
      <c r="AG30" s="3">
        <v>730</v>
      </c>
      <c r="AH30" s="3">
        <v>4</v>
      </c>
      <c r="AI30" s="3">
        <v>10</v>
      </c>
      <c r="AJ30" s="3">
        <v>2</v>
      </c>
      <c r="AK30" s="3">
        <v>40</v>
      </c>
      <c r="AL30" s="3">
        <v>2</v>
      </c>
      <c r="AM30" s="3">
        <v>80</v>
      </c>
      <c r="AN30" s="3">
        <v>720</v>
      </c>
      <c r="AO30" s="3">
        <v>730</v>
      </c>
      <c r="AP30" s="3">
        <v>780</v>
      </c>
      <c r="AQ30" s="3">
        <v>4</v>
      </c>
      <c r="AR30" s="3">
        <v>9</v>
      </c>
      <c r="AS30" s="3">
        <v>2</v>
      </c>
      <c r="AT30" s="3">
        <v>36</v>
      </c>
      <c r="AU30" s="3">
        <v>2</v>
      </c>
      <c r="AV30" s="3">
        <v>72</v>
      </c>
      <c r="AW30" s="3">
        <v>730</v>
      </c>
      <c r="AX30" s="3">
        <v>720</v>
      </c>
      <c r="AY30" s="3">
        <v>780</v>
      </c>
      <c r="AZ30" s="3">
        <v>4</v>
      </c>
      <c r="BA30" s="3">
        <v>9</v>
      </c>
      <c r="BB30" s="3">
        <v>2</v>
      </c>
      <c r="BC30" s="3">
        <v>36</v>
      </c>
      <c r="BD30" s="3">
        <v>2</v>
      </c>
      <c r="BE30" s="3">
        <v>72</v>
      </c>
      <c r="BF30" s="3">
        <v>780</v>
      </c>
      <c r="BG30" s="3">
        <v>720</v>
      </c>
      <c r="BH30" s="3">
        <v>730</v>
      </c>
      <c r="BI30" s="3">
        <v>4</v>
      </c>
      <c r="BJ30" s="3">
        <v>9</v>
      </c>
      <c r="BK30" s="3">
        <v>2</v>
      </c>
      <c r="BL30" s="3">
        <v>36</v>
      </c>
      <c r="BM30" s="3">
        <v>2</v>
      </c>
      <c r="BN30" s="3">
        <v>72</v>
      </c>
    </row>
    <row r="31" spans="1:66" x14ac:dyDescent="0.3">
      <c r="A31" s="2" t="str">
        <v>1</v>
      </c>
      <c r="B31" s="2">
        <v>10</v>
      </c>
      <c r="C31" s="2">
        <v>14007843</v>
      </c>
      <c r="D31" s="2" t="str">
        <v>DIN_BIN</v>
      </c>
      <c r="E31" s="3">
        <v>225</v>
      </c>
      <c r="F31" s="3">
        <v>70</v>
      </c>
      <c r="G31" s="3">
        <v>310</v>
      </c>
      <c r="H31" s="3">
        <v>192</v>
      </c>
      <c r="I31" s="3">
        <v>3</v>
      </c>
      <c r="J31" s="3">
        <v>576</v>
      </c>
      <c r="K31" s="3">
        <v>6</v>
      </c>
      <c r="L31" s="25" t="str">
        <v>FCS (810 x 760 x 860)mm</v>
      </c>
      <c r="M31" s="3">
        <v>780</v>
      </c>
      <c r="N31" s="3">
        <v>730</v>
      </c>
      <c r="O31" s="3">
        <v>720</v>
      </c>
      <c r="P31" s="3">
        <v>3</v>
      </c>
      <c r="Q31" s="3">
        <v>9</v>
      </c>
      <c r="R31" s="3">
        <v>2</v>
      </c>
      <c r="S31" s="3">
        <v>27</v>
      </c>
      <c r="T31" s="3">
        <v>2</v>
      </c>
      <c r="U31" s="3">
        <v>54</v>
      </c>
      <c r="V31" s="3">
        <v>730</v>
      </c>
      <c r="W31" s="3">
        <v>780</v>
      </c>
      <c r="X31" s="3">
        <v>720</v>
      </c>
      <c r="Y31" s="3">
        <v>3</v>
      </c>
      <c r="Z31" s="3">
        <v>10</v>
      </c>
      <c r="AA31" s="3">
        <v>2</v>
      </c>
      <c r="AB31" s="3">
        <v>30</v>
      </c>
      <c r="AC31" s="3">
        <v>2</v>
      </c>
      <c r="AD31" s="3">
        <v>60</v>
      </c>
      <c r="AE31" s="3">
        <v>720</v>
      </c>
      <c r="AF31" s="3">
        <v>780</v>
      </c>
      <c r="AG31" s="3">
        <v>730</v>
      </c>
      <c r="AH31" s="3">
        <v>3</v>
      </c>
      <c r="AI31" s="3">
        <v>10</v>
      </c>
      <c r="AJ31" s="3">
        <v>2</v>
      </c>
      <c r="AK31" s="3">
        <v>30</v>
      </c>
      <c r="AL31" s="3">
        <v>2</v>
      </c>
      <c r="AM31" s="3">
        <v>60</v>
      </c>
      <c r="AN31" s="3">
        <v>720</v>
      </c>
      <c r="AO31" s="3">
        <v>730</v>
      </c>
      <c r="AP31" s="3">
        <v>780</v>
      </c>
      <c r="AQ31" s="3">
        <v>3</v>
      </c>
      <c r="AR31" s="3">
        <v>9</v>
      </c>
      <c r="AS31" s="3">
        <v>2</v>
      </c>
      <c r="AT31" s="3">
        <v>27</v>
      </c>
      <c r="AU31" s="3">
        <v>2</v>
      </c>
      <c r="AV31" s="3">
        <v>54</v>
      </c>
      <c r="AW31" s="3">
        <v>730</v>
      </c>
      <c r="AX31" s="3">
        <v>720</v>
      </c>
      <c r="AY31" s="3">
        <v>780</v>
      </c>
      <c r="AZ31" s="3">
        <v>3</v>
      </c>
      <c r="BA31" s="3">
        <v>9</v>
      </c>
      <c r="BB31" s="3">
        <v>2</v>
      </c>
      <c r="BC31" s="3">
        <v>27</v>
      </c>
      <c r="BD31" s="3">
        <v>2</v>
      </c>
      <c r="BE31" s="3">
        <v>54</v>
      </c>
      <c r="BF31" s="3">
        <v>780</v>
      </c>
      <c r="BG31" s="3">
        <v>720</v>
      </c>
      <c r="BH31" s="3">
        <v>730</v>
      </c>
      <c r="BI31" s="3">
        <v>3</v>
      </c>
      <c r="BJ31" s="3">
        <v>9</v>
      </c>
      <c r="BK31" s="3">
        <v>2</v>
      </c>
      <c r="BL31" s="3">
        <v>27</v>
      </c>
      <c r="BM31" s="3">
        <v>2</v>
      </c>
      <c r="BN31" s="3">
        <v>54</v>
      </c>
    </row>
    <row r="32" spans="1:66" x14ac:dyDescent="0.3">
      <c r="A32" s="2" t="str">
        <v>1</v>
      </c>
      <c r="B32" s="2">
        <v>1</v>
      </c>
      <c r="C32" s="2">
        <v>14007834</v>
      </c>
      <c r="D32" s="2" t="str">
        <v>2.0_M_CENTER BEZEL PREMIUM ASSY</v>
      </c>
      <c r="E32" s="3">
        <v>274</v>
      </c>
      <c r="F32" s="3">
        <v>76</v>
      </c>
      <c r="G32" s="3">
        <v>620</v>
      </c>
      <c r="H32" s="3">
        <v>44</v>
      </c>
      <c r="I32" s="3">
        <v>1</v>
      </c>
      <c r="J32" s="3">
        <v>44</v>
      </c>
      <c r="K32" s="3">
        <v>80</v>
      </c>
      <c r="L32" s="25" t="str">
        <v>Crate (600 x 400 x 120) mm</v>
      </c>
      <c r="M32" s="3">
        <v>560</v>
      </c>
      <c r="N32" s="3">
        <v>360</v>
      </c>
      <c r="O32" s="3">
        <v>105</v>
      </c>
      <c r="P32" s="3">
        <v>2</v>
      </c>
      <c r="Q32" s="3">
        <v>4</v>
      </c>
      <c r="R32" s="3">
        <v>0</v>
      </c>
      <c r="S32" s="3">
        <v>8</v>
      </c>
      <c r="T32" s="3">
        <v>0</v>
      </c>
      <c r="U32" s="3">
        <v>0</v>
      </c>
      <c r="V32" s="3">
        <v>360</v>
      </c>
      <c r="W32" s="3">
        <v>560</v>
      </c>
      <c r="X32" s="3">
        <v>105</v>
      </c>
      <c r="Y32" s="3">
        <v>1</v>
      </c>
      <c r="Z32" s="3">
        <v>6</v>
      </c>
      <c r="AA32" s="3">
        <v>0</v>
      </c>
      <c r="AB32" s="3">
        <v>6</v>
      </c>
      <c r="AC32" s="3">
        <v>0</v>
      </c>
      <c r="AD32" s="3">
        <v>0</v>
      </c>
      <c r="AE32" s="3">
        <v>105</v>
      </c>
      <c r="AF32" s="3">
        <v>560</v>
      </c>
      <c r="AG32" s="3">
        <v>360</v>
      </c>
      <c r="AH32" s="3">
        <v>0</v>
      </c>
      <c r="AI32" s="3">
        <v>6</v>
      </c>
      <c r="AJ32" s="3">
        <v>0</v>
      </c>
      <c r="AK32" s="3">
        <v>0</v>
      </c>
      <c r="AL32" s="3">
        <v>0</v>
      </c>
      <c r="AM32" s="3">
        <v>0</v>
      </c>
      <c r="AN32" s="3">
        <v>105</v>
      </c>
      <c r="AO32" s="3">
        <v>360</v>
      </c>
      <c r="AP32" s="3">
        <v>560</v>
      </c>
      <c r="AQ32" s="3">
        <v>0</v>
      </c>
      <c r="AR32" s="3">
        <v>4</v>
      </c>
      <c r="AS32" s="3">
        <v>0</v>
      </c>
      <c r="AT32" s="3">
        <v>0</v>
      </c>
      <c r="AU32" s="3">
        <v>0</v>
      </c>
      <c r="AV32" s="3">
        <v>0</v>
      </c>
      <c r="AW32" s="3">
        <v>360</v>
      </c>
      <c r="AX32" s="3">
        <v>105</v>
      </c>
      <c r="AY32" s="3">
        <v>560</v>
      </c>
      <c r="AZ32" s="3">
        <v>1</v>
      </c>
      <c r="BA32" s="3">
        <v>1</v>
      </c>
      <c r="BB32" s="3">
        <v>0</v>
      </c>
      <c r="BC32" s="3">
        <v>1</v>
      </c>
      <c r="BD32" s="3">
        <v>0</v>
      </c>
      <c r="BE32" s="3">
        <v>0</v>
      </c>
      <c r="BF32" s="3">
        <v>560</v>
      </c>
      <c r="BG32" s="3">
        <v>105</v>
      </c>
      <c r="BH32" s="3">
        <v>360</v>
      </c>
      <c r="BI32" s="3">
        <v>2</v>
      </c>
      <c r="BJ32" s="3">
        <v>1</v>
      </c>
      <c r="BK32" s="3">
        <v>0</v>
      </c>
      <c r="BL32" s="3">
        <v>2</v>
      </c>
      <c r="BM32" s="3">
        <v>0</v>
      </c>
      <c r="BN32" s="3">
        <v>0</v>
      </c>
    </row>
    <row r="33" spans="1:66" x14ac:dyDescent="0.3">
      <c r="A33" s="2" t="str">
        <v>1</v>
      </c>
      <c r="B33" s="2">
        <v>2</v>
      </c>
      <c r="C33" s="2">
        <v>14007835</v>
      </c>
      <c r="D33" s="2" t="str">
        <v>SHROUD UPPER</v>
      </c>
      <c r="E33" s="3">
        <v>225</v>
      </c>
      <c r="F33" s="3">
        <v>125</v>
      </c>
      <c r="G33" s="3">
        <v>190</v>
      </c>
      <c r="H33" s="3">
        <v>96</v>
      </c>
      <c r="I33" s="3">
        <v>2</v>
      </c>
      <c r="J33" s="3">
        <v>192</v>
      </c>
      <c r="K33" s="3">
        <v>18</v>
      </c>
      <c r="L33" s="25" t="str">
        <v>Crate (600 x 400 x 120) mm</v>
      </c>
      <c r="M33" s="3">
        <v>560</v>
      </c>
      <c r="N33" s="3">
        <v>360</v>
      </c>
      <c r="O33" s="3">
        <v>105</v>
      </c>
      <c r="P33" s="3">
        <v>2</v>
      </c>
      <c r="Q33" s="3">
        <v>2</v>
      </c>
      <c r="R33" s="3">
        <v>0</v>
      </c>
      <c r="S33" s="3">
        <v>4</v>
      </c>
      <c r="T33" s="3">
        <v>0</v>
      </c>
      <c r="U33" s="3">
        <v>0</v>
      </c>
      <c r="V33" s="3">
        <v>360</v>
      </c>
      <c r="W33" s="3">
        <v>560</v>
      </c>
      <c r="X33" s="3">
        <v>105</v>
      </c>
      <c r="Y33" s="3">
        <v>1</v>
      </c>
      <c r="Z33" s="3">
        <v>4</v>
      </c>
      <c r="AA33" s="3">
        <v>0</v>
      </c>
      <c r="AB33" s="3">
        <v>4</v>
      </c>
      <c r="AC33" s="3">
        <v>0</v>
      </c>
      <c r="AD33" s="3">
        <v>0</v>
      </c>
      <c r="AE33" s="3">
        <v>105</v>
      </c>
      <c r="AF33" s="3">
        <v>560</v>
      </c>
      <c r="AG33" s="3">
        <v>360</v>
      </c>
      <c r="AH33" s="3">
        <v>0</v>
      </c>
      <c r="AI33" s="3">
        <v>4</v>
      </c>
      <c r="AJ33" s="3">
        <v>1</v>
      </c>
      <c r="AK33" s="3">
        <v>0</v>
      </c>
      <c r="AL33" s="3">
        <v>1</v>
      </c>
      <c r="AM33" s="3">
        <v>0</v>
      </c>
      <c r="AN33" s="3">
        <v>105</v>
      </c>
      <c r="AO33" s="3">
        <v>360</v>
      </c>
      <c r="AP33" s="3">
        <v>560</v>
      </c>
      <c r="AQ33" s="3">
        <v>0</v>
      </c>
      <c r="AR33" s="3">
        <v>2</v>
      </c>
      <c r="AS33" s="3">
        <v>2</v>
      </c>
      <c r="AT33" s="3">
        <v>0</v>
      </c>
      <c r="AU33" s="3">
        <v>2</v>
      </c>
      <c r="AV33" s="3">
        <v>0</v>
      </c>
      <c r="AW33" s="3">
        <v>360</v>
      </c>
      <c r="AX33" s="3">
        <v>105</v>
      </c>
      <c r="AY33" s="3">
        <v>560</v>
      </c>
      <c r="AZ33" s="3">
        <v>1</v>
      </c>
      <c r="BA33" s="3">
        <v>0</v>
      </c>
      <c r="BB33" s="3">
        <v>2</v>
      </c>
      <c r="BC33" s="3">
        <v>0</v>
      </c>
      <c r="BD33" s="3">
        <v>2</v>
      </c>
      <c r="BE33" s="3">
        <v>0</v>
      </c>
      <c r="BF33" s="3">
        <v>560</v>
      </c>
      <c r="BG33" s="3">
        <v>105</v>
      </c>
      <c r="BH33" s="3">
        <v>360</v>
      </c>
      <c r="BI33" s="3">
        <v>2</v>
      </c>
      <c r="BJ33" s="3">
        <v>0</v>
      </c>
      <c r="BK33" s="3">
        <v>1</v>
      </c>
      <c r="BL33" s="3">
        <v>0</v>
      </c>
      <c r="BM33" s="3">
        <v>1</v>
      </c>
      <c r="BN33" s="3">
        <v>0</v>
      </c>
    </row>
    <row r="34" spans="1:66" x14ac:dyDescent="0.3">
      <c r="A34" s="2" t="str">
        <v>1</v>
      </c>
      <c r="B34" s="2">
        <v>3</v>
      </c>
      <c r="C34" s="2">
        <v>14007836</v>
      </c>
      <c r="D34" s="2" t="str">
        <v>SHROUD LOWER</v>
      </c>
      <c r="E34" s="3">
        <v>435</v>
      </c>
      <c r="F34" s="3">
        <v>100</v>
      </c>
      <c r="G34" s="3">
        <v>210</v>
      </c>
      <c r="H34" s="3">
        <v>48</v>
      </c>
      <c r="I34" s="3">
        <v>1</v>
      </c>
      <c r="J34" s="3">
        <v>48</v>
      </c>
      <c r="K34" s="3">
        <v>75</v>
      </c>
      <c r="L34" s="25" t="str">
        <v>Crate (600 x 400 x 120) mm</v>
      </c>
      <c r="M34" s="3">
        <v>560</v>
      </c>
      <c r="N34" s="3">
        <v>360</v>
      </c>
      <c r="O34" s="3">
        <v>105</v>
      </c>
      <c r="P34" s="3">
        <v>1</v>
      </c>
      <c r="Q34" s="3">
        <v>3</v>
      </c>
      <c r="R34" s="3">
        <v>0</v>
      </c>
      <c r="S34" s="3">
        <v>3</v>
      </c>
      <c r="T34" s="3">
        <v>0</v>
      </c>
      <c r="U34" s="3">
        <v>0</v>
      </c>
      <c r="V34" s="3">
        <v>360</v>
      </c>
      <c r="W34" s="3">
        <v>560</v>
      </c>
      <c r="X34" s="3">
        <v>105</v>
      </c>
      <c r="Y34" s="3">
        <v>0</v>
      </c>
      <c r="Z34" s="3">
        <v>5</v>
      </c>
      <c r="AA34" s="3">
        <v>0</v>
      </c>
      <c r="AB34" s="3">
        <v>0</v>
      </c>
      <c r="AC34" s="3">
        <v>0</v>
      </c>
      <c r="AD34" s="3">
        <v>0</v>
      </c>
      <c r="AE34" s="3">
        <v>105</v>
      </c>
      <c r="AF34" s="3">
        <v>560</v>
      </c>
      <c r="AG34" s="3">
        <v>360</v>
      </c>
      <c r="AH34" s="3">
        <v>0</v>
      </c>
      <c r="AI34" s="3">
        <v>5</v>
      </c>
      <c r="AJ34" s="3">
        <v>1</v>
      </c>
      <c r="AK34" s="3">
        <v>0</v>
      </c>
      <c r="AL34" s="3">
        <v>1</v>
      </c>
      <c r="AM34" s="3">
        <v>0</v>
      </c>
      <c r="AN34" s="3">
        <v>105</v>
      </c>
      <c r="AO34" s="3">
        <v>360</v>
      </c>
      <c r="AP34" s="3">
        <v>560</v>
      </c>
      <c r="AQ34" s="3">
        <v>0</v>
      </c>
      <c r="AR34" s="3">
        <v>3</v>
      </c>
      <c r="AS34" s="3">
        <v>2</v>
      </c>
      <c r="AT34" s="3">
        <v>0</v>
      </c>
      <c r="AU34" s="3">
        <v>2</v>
      </c>
      <c r="AV34" s="3">
        <v>0</v>
      </c>
      <c r="AW34" s="3">
        <v>360</v>
      </c>
      <c r="AX34" s="3">
        <v>105</v>
      </c>
      <c r="AY34" s="3">
        <v>560</v>
      </c>
      <c r="AZ34" s="3">
        <v>0</v>
      </c>
      <c r="BA34" s="3">
        <v>1</v>
      </c>
      <c r="BB34" s="3">
        <v>2</v>
      </c>
      <c r="BC34" s="3">
        <v>0</v>
      </c>
      <c r="BD34" s="3">
        <v>2</v>
      </c>
      <c r="BE34" s="3">
        <v>0</v>
      </c>
      <c r="BF34" s="3">
        <v>560</v>
      </c>
      <c r="BG34" s="3">
        <v>105</v>
      </c>
      <c r="BH34" s="3">
        <v>360</v>
      </c>
      <c r="BI34" s="3">
        <v>1</v>
      </c>
      <c r="BJ34" s="3">
        <v>1</v>
      </c>
      <c r="BK34" s="3">
        <v>1</v>
      </c>
      <c r="BL34" s="3">
        <v>1</v>
      </c>
      <c r="BM34" s="3">
        <v>1</v>
      </c>
      <c r="BN34" s="3">
        <v>1</v>
      </c>
    </row>
    <row r="35" spans="1:66" x14ac:dyDescent="0.3">
      <c r="A35" s="2" t="str">
        <v>1</v>
      </c>
      <c r="B35" s="2">
        <v>4</v>
      </c>
      <c r="C35" s="2">
        <v>14007837</v>
      </c>
      <c r="D35" s="2" t="str">
        <v>CLUSTER BEZEL LOWER ASSY</v>
      </c>
      <c r="E35" s="3">
        <v>365</v>
      </c>
      <c r="F35" s="3">
        <v>63</v>
      </c>
      <c r="G35" s="3">
        <v>225</v>
      </c>
      <c r="H35" s="3">
        <v>96</v>
      </c>
      <c r="I35" s="3">
        <v>1</v>
      </c>
      <c r="J35" s="3">
        <v>96</v>
      </c>
      <c r="K35" s="3">
        <v>38</v>
      </c>
      <c r="L35" s="25" t="str">
        <v>Crate (600 x 400 x 120) mm</v>
      </c>
      <c r="M35" s="3">
        <v>560</v>
      </c>
      <c r="N35" s="3">
        <v>360</v>
      </c>
      <c r="O35" s="3">
        <v>105</v>
      </c>
      <c r="P35" s="3">
        <v>1</v>
      </c>
      <c r="Q35" s="3">
        <v>5</v>
      </c>
      <c r="R35" s="3">
        <v>0</v>
      </c>
      <c r="S35" s="3">
        <v>5</v>
      </c>
      <c r="T35" s="3">
        <v>0</v>
      </c>
      <c r="U35" s="3">
        <v>0</v>
      </c>
      <c r="V35" s="3">
        <v>360</v>
      </c>
      <c r="W35" s="3">
        <v>560</v>
      </c>
      <c r="X35" s="3">
        <v>105</v>
      </c>
      <c r="Y35" s="3">
        <v>0</v>
      </c>
      <c r="Z35" s="3">
        <v>8</v>
      </c>
      <c r="AA35" s="3">
        <v>0</v>
      </c>
      <c r="AB35" s="3">
        <v>0</v>
      </c>
      <c r="AC35" s="3">
        <v>0</v>
      </c>
      <c r="AD35" s="3">
        <v>0</v>
      </c>
      <c r="AE35" s="3">
        <v>105</v>
      </c>
      <c r="AF35" s="3">
        <v>560</v>
      </c>
      <c r="AG35" s="3">
        <v>360</v>
      </c>
      <c r="AH35" s="3">
        <v>0</v>
      </c>
      <c r="AI35" s="3">
        <v>8</v>
      </c>
      <c r="AJ35" s="3">
        <v>1</v>
      </c>
      <c r="AK35" s="3">
        <v>0</v>
      </c>
      <c r="AL35" s="3">
        <v>1</v>
      </c>
      <c r="AM35" s="3">
        <v>0</v>
      </c>
      <c r="AN35" s="3">
        <v>105</v>
      </c>
      <c r="AO35" s="3">
        <v>360</v>
      </c>
      <c r="AP35" s="3">
        <v>560</v>
      </c>
      <c r="AQ35" s="3">
        <v>0</v>
      </c>
      <c r="AR35" s="3">
        <v>5</v>
      </c>
      <c r="AS35" s="3">
        <v>2</v>
      </c>
      <c r="AT35" s="3">
        <v>0</v>
      </c>
      <c r="AU35" s="3">
        <v>2</v>
      </c>
      <c r="AV35" s="3">
        <v>0</v>
      </c>
      <c r="AW35" s="3">
        <v>360</v>
      </c>
      <c r="AX35" s="3">
        <v>105</v>
      </c>
      <c r="AY35" s="3">
        <v>560</v>
      </c>
      <c r="AZ35" s="3">
        <v>0</v>
      </c>
      <c r="BA35" s="3">
        <v>1</v>
      </c>
      <c r="BB35" s="3">
        <v>2</v>
      </c>
      <c r="BC35" s="3">
        <v>0</v>
      </c>
      <c r="BD35" s="3">
        <v>2</v>
      </c>
      <c r="BE35" s="3">
        <v>0</v>
      </c>
      <c r="BF35" s="3">
        <v>560</v>
      </c>
      <c r="BG35" s="3">
        <v>105</v>
      </c>
      <c r="BH35" s="3">
        <v>360</v>
      </c>
      <c r="BI35" s="3">
        <v>1</v>
      </c>
      <c r="BJ35" s="3">
        <v>1</v>
      </c>
      <c r="BK35" s="3">
        <v>1</v>
      </c>
      <c r="BL35" s="3">
        <v>1</v>
      </c>
      <c r="BM35" s="3">
        <v>1</v>
      </c>
      <c r="BN35" s="3">
        <v>1</v>
      </c>
    </row>
    <row r="36" spans="1:66" x14ac:dyDescent="0.3">
      <c r="A36" s="2" t="str">
        <v>1</v>
      </c>
      <c r="B36" s="2">
        <v>5</v>
      </c>
      <c r="C36" s="2">
        <v>14007838</v>
      </c>
      <c r="D36" s="2" t="str">
        <v>DRIVER SIDE BOOSTER COVER ASSY</v>
      </c>
      <c r="E36" s="3">
        <v>410</v>
      </c>
      <c r="F36" s="3">
        <v>280</v>
      </c>
      <c r="G36" s="3">
        <v>160</v>
      </c>
      <c r="H36" s="3">
        <v>16</v>
      </c>
      <c r="I36" s="3">
        <v>1</v>
      </c>
      <c r="J36" s="3">
        <v>16</v>
      </c>
      <c r="K36" s="3">
        <v>202</v>
      </c>
      <c r="L36" s="25" t="str">
        <v>Crate (600 x 400 x 120) mm</v>
      </c>
      <c r="M36" s="3">
        <v>560</v>
      </c>
      <c r="N36" s="3">
        <v>360</v>
      </c>
      <c r="O36" s="3">
        <v>105</v>
      </c>
      <c r="P36" s="3">
        <v>1</v>
      </c>
      <c r="Q36" s="3">
        <v>1</v>
      </c>
      <c r="R36" s="3">
        <v>0</v>
      </c>
      <c r="S36" s="3">
        <v>1</v>
      </c>
      <c r="T36" s="3">
        <v>0</v>
      </c>
      <c r="U36" s="3">
        <v>0</v>
      </c>
      <c r="V36" s="3">
        <v>360</v>
      </c>
      <c r="W36" s="3">
        <v>560</v>
      </c>
      <c r="X36" s="3">
        <v>105</v>
      </c>
      <c r="Y36" s="3">
        <v>0</v>
      </c>
      <c r="Z36" s="3">
        <v>1</v>
      </c>
      <c r="AA36" s="3">
        <v>0</v>
      </c>
      <c r="AB36" s="3">
        <v>0</v>
      </c>
      <c r="AC36" s="3">
        <v>0</v>
      </c>
      <c r="AD36" s="3">
        <v>0</v>
      </c>
      <c r="AE36" s="3">
        <v>105</v>
      </c>
      <c r="AF36" s="3">
        <v>560</v>
      </c>
      <c r="AG36" s="3">
        <v>360</v>
      </c>
      <c r="AH36" s="3">
        <v>0</v>
      </c>
      <c r="AI36" s="3">
        <v>1</v>
      </c>
      <c r="AJ36" s="3">
        <v>2</v>
      </c>
      <c r="AK36" s="3">
        <v>0</v>
      </c>
      <c r="AL36" s="3">
        <v>2</v>
      </c>
      <c r="AM36" s="3">
        <v>0</v>
      </c>
      <c r="AN36" s="3">
        <v>105</v>
      </c>
      <c r="AO36" s="3">
        <v>360</v>
      </c>
      <c r="AP36" s="3">
        <v>560</v>
      </c>
      <c r="AQ36" s="3">
        <v>0</v>
      </c>
      <c r="AR36" s="3">
        <v>1</v>
      </c>
      <c r="AS36" s="3">
        <v>3</v>
      </c>
      <c r="AT36" s="3">
        <v>0</v>
      </c>
      <c r="AU36" s="3">
        <v>3</v>
      </c>
      <c r="AV36" s="3">
        <v>0</v>
      </c>
      <c r="AW36" s="3">
        <v>360</v>
      </c>
      <c r="AX36" s="3">
        <v>105</v>
      </c>
      <c r="AY36" s="3">
        <v>560</v>
      </c>
      <c r="AZ36" s="3">
        <v>0</v>
      </c>
      <c r="BA36" s="3">
        <v>0</v>
      </c>
      <c r="BB36" s="3">
        <v>3</v>
      </c>
      <c r="BC36" s="3">
        <v>0</v>
      </c>
      <c r="BD36" s="3">
        <v>3</v>
      </c>
      <c r="BE36" s="3">
        <v>0</v>
      </c>
      <c r="BF36" s="3">
        <v>560</v>
      </c>
      <c r="BG36" s="3">
        <v>105</v>
      </c>
      <c r="BH36" s="3">
        <v>360</v>
      </c>
      <c r="BI36" s="3">
        <v>1</v>
      </c>
      <c r="BJ36" s="3">
        <v>0</v>
      </c>
      <c r="BK36" s="3">
        <v>2</v>
      </c>
      <c r="BL36" s="3">
        <v>0</v>
      </c>
      <c r="BM36" s="3">
        <v>2</v>
      </c>
      <c r="BN36" s="3">
        <v>0</v>
      </c>
    </row>
    <row r="37" spans="1:66" x14ac:dyDescent="0.3">
      <c r="A37" s="2" t="str">
        <v>1</v>
      </c>
      <c r="B37" s="2">
        <v>6</v>
      </c>
      <c r="C37" s="2">
        <v>14007839</v>
      </c>
      <c r="D37" s="2" t="str">
        <v>PASSENGER SIDE KNEE COVER RHD ASSY</v>
      </c>
      <c r="E37" s="3">
        <v>380</v>
      </c>
      <c r="F37" s="3">
        <v>110</v>
      </c>
      <c r="G37" s="3">
        <v>295</v>
      </c>
      <c r="H37" s="3">
        <v>64</v>
      </c>
      <c r="I37" s="3">
        <v>1</v>
      </c>
      <c r="J37" s="3">
        <v>64</v>
      </c>
      <c r="K37" s="3">
        <v>50</v>
      </c>
      <c r="L37" s="25" t="str">
        <v>Crate (600 x 400 x 120) mm</v>
      </c>
      <c r="M37" s="3">
        <v>560</v>
      </c>
      <c r="N37" s="3">
        <v>360</v>
      </c>
      <c r="O37" s="3">
        <v>105</v>
      </c>
      <c r="P37" s="3">
        <v>1</v>
      </c>
      <c r="Q37" s="3">
        <v>3</v>
      </c>
      <c r="R37" s="3">
        <v>0</v>
      </c>
      <c r="S37" s="3">
        <v>3</v>
      </c>
      <c r="T37" s="3">
        <v>0</v>
      </c>
      <c r="U37" s="3">
        <v>0</v>
      </c>
      <c r="V37" s="3">
        <v>360</v>
      </c>
      <c r="W37" s="3">
        <v>560</v>
      </c>
      <c r="X37" s="3">
        <v>105</v>
      </c>
      <c r="Y37" s="3">
        <v>0</v>
      </c>
      <c r="Z37" s="3">
        <v>4</v>
      </c>
      <c r="AA37" s="3">
        <v>0</v>
      </c>
      <c r="AB37" s="3">
        <v>0</v>
      </c>
      <c r="AC37" s="3">
        <v>0</v>
      </c>
      <c r="AD37" s="3">
        <v>0</v>
      </c>
      <c r="AE37" s="3">
        <v>105</v>
      </c>
      <c r="AF37" s="3">
        <v>560</v>
      </c>
      <c r="AG37" s="3">
        <v>360</v>
      </c>
      <c r="AH37" s="3">
        <v>0</v>
      </c>
      <c r="AI37" s="3">
        <v>4</v>
      </c>
      <c r="AJ37" s="3">
        <v>1</v>
      </c>
      <c r="AK37" s="3">
        <v>0</v>
      </c>
      <c r="AL37" s="3">
        <v>1</v>
      </c>
      <c r="AM37" s="3">
        <v>0</v>
      </c>
      <c r="AN37" s="3">
        <v>105</v>
      </c>
      <c r="AO37" s="3">
        <v>360</v>
      </c>
      <c r="AP37" s="3">
        <v>560</v>
      </c>
      <c r="AQ37" s="3">
        <v>0</v>
      </c>
      <c r="AR37" s="3">
        <v>3</v>
      </c>
      <c r="AS37" s="3">
        <v>1</v>
      </c>
      <c r="AT37" s="3">
        <v>0</v>
      </c>
      <c r="AU37" s="3">
        <v>1</v>
      </c>
      <c r="AV37" s="3">
        <v>0</v>
      </c>
      <c r="AW37" s="3">
        <v>360</v>
      </c>
      <c r="AX37" s="3">
        <v>105</v>
      </c>
      <c r="AY37" s="3">
        <v>560</v>
      </c>
      <c r="AZ37" s="3">
        <v>0</v>
      </c>
      <c r="BA37" s="3">
        <v>0</v>
      </c>
      <c r="BB37" s="3">
        <v>1</v>
      </c>
      <c r="BC37" s="3">
        <v>0</v>
      </c>
      <c r="BD37" s="3">
        <v>1</v>
      </c>
      <c r="BE37" s="3">
        <v>0</v>
      </c>
      <c r="BF37" s="3">
        <v>560</v>
      </c>
      <c r="BG37" s="3">
        <v>105</v>
      </c>
      <c r="BH37" s="3">
        <v>360</v>
      </c>
      <c r="BI37" s="3">
        <v>1</v>
      </c>
      <c r="BJ37" s="3">
        <v>0</v>
      </c>
      <c r="BK37" s="3">
        <v>1</v>
      </c>
      <c r="BL37" s="3">
        <v>0</v>
      </c>
      <c r="BM37" s="3">
        <v>1</v>
      </c>
      <c r="BN37" s="3">
        <v>0</v>
      </c>
    </row>
    <row r="38" spans="1:66" x14ac:dyDescent="0.3">
      <c r="A38" s="2" t="str">
        <v>1</v>
      </c>
      <c r="B38" s="2">
        <v>7</v>
      </c>
      <c r="C38" s="2">
        <v>14007840</v>
      </c>
      <c r="D38" s="2" t="str">
        <v>END CAP LH ASSY</v>
      </c>
      <c r="E38" s="3">
        <v>130</v>
      </c>
      <c r="F38" s="3">
        <v>50</v>
      </c>
      <c r="G38" s="3">
        <v>385</v>
      </c>
      <c r="H38" s="3">
        <v>192</v>
      </c>
      <c r="I38" s="3">
        <v>1</v>
      </c>
      <c r="J38" s="3">
        <v>192</v>
      </c>
      <c r="K38" s="3">
        <v>18</v>
      </c>
      <c r="L38" s="25" t="str">
        <v>Crate (600 x 400 x 120) mm</v>
      </c>
      <c r="M38" s="3">
        <v>560</v>
      </c>
      <c r="N38" s="3">
        <v>360</v>
      </c>
      <c r="O38" s="3">
        <v>105</v>
      </c>
      <c r="P38" s="3">
        <v>4</v>
      </c>
      <c r="Q38" s="3">
        <v>6</v>
      </c>
      <c r="R38" s="3">
        <v>0</v>
      </c>
      <c r="S38" s="3">
        <v>24</v>
      </c>
      <c r="T38" s="3">
        <v>0</v>
      </c>
      <c r="U38" s="3">
        <v>0</v>
      </c>
      <c r="V38" s="3">
        <v>360</v>
      </c>
      <c r="W38" s="3">
        <v>560</v>
      </c>
      <c r="X38" s="3">
        <v>105</v>
      </c>
      <c r="Y38" s="3">
        <v>2</v>
      </c>
      <c r="Z38" s="3">
        <v>10</v>
      </c>
      <c r="AA38" s="3">
        <v>0</v>
      </c>
      <c r="AB38" s="3">
        <v>20</v>
      </c>
      <c r="AC38" s="3">
        <v>0</v>
      </c>
      <c r="AD38" s="3">
        <v>0</v>
      </c>
      <c r="AE38" s="3">
        <v>105</v>
      </c>
      <c r="AF38" s="3">
        <v>560</v>
      </c>
      <c r="AG38" s="3">
        <v>360</v>
      </c>
      <c r="AH38" s="3">
        <v>0</v>
      </c>
      <c r="AI38" s="3">
        <v>10</v>
      </c>
      <c r="AJ38" s="3">
        <v>0</v>
      </c>
      <c r="AK38" s="3">
        <v>0</v>
      </c>
      <c r="AL38" s="3">
        <v>0</v>
      </c>
      <c r="AM38" s="3">
        <v>0</v>
      </c>
      <c r="AN38" s="3">
        <v>105</v>
      </c>
      <c r="AO38" s="3">
        <v>360</v>
      </c>
      <c r="AP38" s="3">
        <v>560</v>
      </c>
      <c r="AQ38" s="3">
        <v>0</v>
      </c>
      <c r="AR38" s="3">
        <v>6</v>
      </c>
      <c r="AS38" s="3">
        <v>1</v>
      </c>
      <c r="AT38" s="3">
        <v>0</v>
      </c>
      <c r="AU38" s="3">
        <v>1</v>
      </c>
      <c r="AV38" s="3">
        <v>0</v>
      </c>
      <c r="AW38" s="3">
        <v>360</v>
      </c>
      <c r="AX38" s="3">
        <v>105</v>
      </c>
      <c r="AY38" s="3">
        <v>560</v>
      </c>
      <c r="AZ38" s="3">
        <v>2</v>
      </c>
      <c r="BA38" s="3">
        <v>1</v>
      </c>
      <c r="BB38" s="3">
        <v>1</v>
      </c>
      <c r="BC38" s="3">
        <v>2</v>
      </c>
      <c r="BD38" s="3">
        <v>1</v>
      </c>
      <c r="BE38" s="3">
        <v>2</v>
      </c>
      <c r="BF38" s="3">
        <v>560</v>
      </c>
      <c r="BG38" s="3">
        <v>105</v>
      </c>
      <c r="BH38" s="3">
        <v>360</v>
      </c>
      <c r="BI38" s="3">
        <v>4</v>
      </c>
      <c r="BJ38" s="3">
        <v>1</v>
      </c>
      <c r="BK38" s="3">
        <v>0</v>
      </c>
      <c r="BL38" s="3">
        <v>4</v>
      </c>
      <c r="BM38" s="3">
        <v>0</v>
      </c>
      <c r="BN38" s="3">
        <v>0</v>
      </c>
    </row>
    <row r="39" spans="1:66" x14ac:dyDescent="0.3">
      <c r="A39" s="2" t="str">
        <v>1</v>
      </c>
      <c r="B39" s="2">
        <v>8</v>
      </c>
      <c r="C39" s="2">
        <v>14007841</v>
      </c>
      <c r="D39" s="2" t="str">
        <v>END CAP RH ASSY</v>
      </c>
      <c r="E39" s="3">
        <v>130</v>
      </c>
      <c r="F39" s="3">
        <v>50</v>
      </c>
      <c r="G39" s="3">
        <v>385</v>
      </c>
      <c r="H39" s="3">
        <v>192</v>
      </c>
      <c r="I39" s="3">
        <v>1</v>
      </c>
      <c r="J39" s="3">
        <v>192</v>
      </c>
      <c r="K39" s="3">
        <v>18</v>
      </c>
      <c r="L39" s="25" t="str">
        <v>Crate (600 x 400 x 120) mm</v>
      </c>
      <c r="M39" s="3">
        <v>560</v>
      </c>
      <c r="N39" s="3">
        <v>360</v>
      </c>
      <c r="O39" s="3">
        <v>105</v>
      </c>
      <c r="P39" s="3">
        <v>4</v>
      </c>
      <c r="Q39" s="3">
        <v>6</v>
      </c>
      <c r="R39" s="3">
        <v>0</v>
      </c>
      <c r="S39" s="3">
        <v>24</v>
      </c>
      <c r="T39" s="3">
        <v>0</v>
      </c>
      <c r="U39" s="3">
        <v>0</v>
      </c>
      <c r="V39" s="3">
        <v>360</v>
      </c>
      <c r="W39" s="3">
        <v>560</v>
      </c>
      <c r="X39" s="3">
        <v>105</v>
      </c>
      <c r="Y39" s="3">
        <v>2</v>
      </c>
      <c r="Z39" s="3">
        <v>10</v>
      </c>
      <c r="AA39" s="3">
        <v>0</v>
      </c>
      <c r="AB39" s="3">
        <v>20</v>
      </c>
      <c r="AC39" s="3">
        <v>0</v>
      </c>
      <c r="AD39" s="3">
        <v>0</v>
      </c>
      <c r="AE39" s="3">
        <v>105</v>
      </c>
      <c r="AF39" s="3">
        <v>560</v>
      </c>
      <c r="AG39" s="3">
        <v>360</v>
      </c>
      <c r="AH39" s="3">
        <v>0</v>
      </c>
      <c r="AI39" s="3">
        <v>10</v>
      </c>
      <c r="AJ39" s="3">
        <v>0</v>
      </c>
      <c r="AK39" s="3">
        <v>0</v>
      </c>
      <c r="AL39" s="3">
        <v>0</v>
      </c>
      <c r="AM39" s="3">
        <v>0</v>
      </c>
      <c r="AN39" s="3">
        <v>105</v>
      </c>
      <c r="AO39" s="3">
        <v>360</v>
      </c>
      <c r="AP39" s="3">
        <v>560</v>
      </c>
      <c r="AQ39" s="3">
        <v>0</v>
      </c>
      <c r="AR39" s="3">
        <v>6</v>
      </c>
      <c r="AS39" s="3">
        <v>1</v>
      </c>
      <c r="AT39" s="3">
        <v>0</v>
      </c>
      <c r="AU39" s="3">
        <v>1</v>
      </c>
      <c r="AV39" s="3">
        <v>0</v>
      </c>
      <c r="AW39" s="3">
        <v>360</v>
      </c>
      <c r="AX39" s="3">
        <v>105</v>
      </c>
      <c r="AY39" s="3">
        <v>560</v>
      </c>
      <c r="AZ39" s="3">
        <v>2</v>
      </c>
      <c r="BA39" s="3">
        <v>1</v>
      </c>
      <c r="BB39" s="3">
        <v>1</v>
      </c>
      <c r="BC39" s="3">
        <v>2</v>
      </c>
      <c r="BD39" s="3">
        <v>1</v>
      </c>
      <c r="BE39" s="3">
        <v>2</v>
      </c>
      <c r="BF39" s="3">
        <v>560</v>
      </c>
      <c r="BG39" s="3">
        <v>105</v>
      </c>
      <c r="BH39" s="3">
        <v>360</v>
      </c>
      <c r="BI39" s="3">
        <v>4</v>
      </c>
      <c r="BJ39" s="3">
        <v>1</v>
      </c>
      <c r="BK39" s="3">
        <v>0</v>
      </c>
      <c r="BL39" s="3">
        <v>4</v>
      </c>
      <c r="BM39" s="3">
        <v>0</v>
      </c>
      <c r="BN39" s="3">
        <v>0</v>
      </c>
    </row>
    <row r="40" spans="1:66" x14ac:dyDescent="0.3">
      <c r="A40" s="2" t="str">
        <v>1</v>
      </c>
      <c r="B40" s="2">
        <v>9</v>
      </c>
      <c r="C40" s="2">
        <v>14007842</v>
      </c>
      <c r="D40" s="2" t="str">
        <v>DRIVER SIDE KNEE COVER RHD ASSY</v>
      </c>
      <c r="E40" s="3">
        <v>170</v>
      </c>
      <c r="F40" s="3">
        <v>70</v>
      </c>
      <c r="G40" s="3">
        <v>265</v>
      </c>
      <c r="H40" s="3">
        <v>80</v>
      </c>
      <c r="I40" s="3">
        <v>1</v>
      </c>
      <c r="J40" s="3">
        <v>80</v>
      </c>
      <c r="K40" s="3">
        <v>40</v>
      </c>
      <c r="L40" s="25" t="str">
        <v>Crate (600 x 400 x 120) mm</v>
      </c>
      <c r="M40" s="3">
        <v>560</v>
      </c>
      <c r="N40" s="3">
        <v>360</v>
      </c>
      <c r="O40" s="3">
        <v>105</v>
      </c>
      <c r="P40" s="3">
        <v>3</v>
      </c>
      <c r="Q40" s="3">
        <v>4</v>
      </c>
      <c r="R40" s="3">
        <v>0</v>
      </c>
      <c r="S40" s="3">
        <v>12</v>
      </c>
      <c r="T40" s="3">
        <v>0</v>
      </c>
      <c r="U40" s="3">
        <v>0</v>
      </c>
      <c r="V40" s="3">
        <v>360</v>
      </c>
      <c r="W40" s="3">
        <v>560</v>
      </c>
      <c r="X40" s="3">
        <v>105</v>
      </c>
      <c r="Y40" s="3">
        <v>2</v>
      </c>
      <c r="Z40" s="3">
        <v>7</v>
      </c>
      <c r="AA40" s="3">
        <v>0</v>
      </c>
      <c r="AB40" s="3">
        <v>14</v>
      </c>
      <c r="AC40" s="3">
        <v>0</v>
      </c>
      <c r="AD40" s="3">
        <v>0</v>
      </c>
      <c r="AE40" s="3">
        <v>105</v>
      </c>
      <c r="AF40" s="3">
        <v>560</v>
      </c>
      <c r="AG40" s="3">
        <v>360</v>
      </c>
      <c r="AH40" s="3">
        <v>0</v>
      </c>
      <c r="AI40" s="3">
        <v>7</v>
      </c>
      <c r="AJ40" s="3">
        <v>1</v>
      </c>
      <c r="AK40" s="3">
        <v>0</v>
      </c>
      <c r="AL40" s="3">
        <v>1</v>
      </c>
      <c r="AM40" s="3">
        <v>0</v>
      </c>
      <c r="AN40" s="3">
        <v>105</v>
      </c>
      <c r="AO40" s="3">
        <v>360</v>
      </c>
      <c r="AP40" s="3">
        <v>560</v>
      </c>
      <c r="AQ40" s="3">
        <v>0</v>
      </c>
      <c r="AR40" s="3">
        <v>4</v>
      </c>
      <c r="AS40" s="3">
        <v>2</v>
      </c>
      <c r="AT40" s="3">
        <v>0</v>
      </c>
      <c r="AU40" s="3">
        <v>2</v>
      </c>
      <c r="AV40" s="3">
        <v>0</v>
      </c>
      <c r="AW40" s="3">
        <v>360</v>
      </c>
      <c r="AX40" s="3">
        <v>105</v>
      </c>
      <c r="AY40" s="3">
        <v>560</v>
      </c>
      <c r="AZ40" s="3">
        <v>2</v>
      </c>
      <c r="BA40" s="3">
        <v>1</v>
      </c>
      <c r="BB40" s="3">
        <v>2</v>
      </c>
      <c r="BC40" s="3">
        <v>2</v>
      </c>
      <c r="BD40" s="3">
        <v>2</v>
      </c>
      <c r="BE40" s="3">
        <v>4</v>
      </c>
      <c r="BF40" s="3">
        <v>560</v>
      </c>
      <c r="BG40" s="3">
        <v>105</v>
      </c>
      <c r="BH40" s="3">
        <v>360</v>
      </c>
      <c r="BI40" s="3">
        <v>3</v>
      </c>
      <c r="BJ40" s="3">
        <v>1</v>
      </c>
      <c r="BK40" s="3">
        <v>1</v>
      </c>
      <c r="BL40" s="3">
        <v>3</v>
      </c>
      <c r="BM40" s="3">
        <v>1</v>
      </c>
      <c r="BN40" s="3">
        <v>3</v>
      </c>
    </row>
    <row r="41" spans="1:66" x14ac:dyDescent="0.3">
      <c r="A41" s="2" t="str">
        <v>1</v>
      </c>
      <c r="B41" s="2">
        <v>10</v>
      </c>
      <c r="C41" s="2">
        <v>14007843</v>
      </c>
      <c r="D41" s="2" t="str">
        <v>DIN_BIN</v>
      </c>
      <c r="E41" s="3">
        <v>225</v>
      </c>
      <c r="F41" s="3">
        <v>70</v>
      </c>
      <c r="G41" s="3">
        <v>310</v>
      </c>
      <c r="H41" s="3">
        <v>192</v>
      </c>
      <c r="I41" s="3">
        <v>3</v>
      </c>
      <c r="J41" s="3">
        <v>576</v>
      </c>
      <c r="K41" s="3">
        <v>6</v>
      </c>
      <c r="L41" s="25" t="str">
        <v>Crate (600 x 400 x 120) mm</v>
      </c>
      <c r="M41" s="3">
        <v>560</v>
      </c>
      <c r="N41" s="3">
        <v>360</v>
      </c>
      <c r="O41" s="3">
        <v>105</v>
      </c>
      <c r="P41" s="3">
        <v>2</v>
      </c>
      <c r="Q41" s="3">
        <v>4</v>
      </c>
      <c r="R41" s="3">
        <v>0</v>
      </c>
      <c r="S41" s="3">
        <v>8</v>
      </c>
      <c r="T41" s="3">
        <v>0</v>
      </c>
      <c r="U41" s="3">
        <v>0</v>
      </c>
      <c r="V41" s="3">
        <v>360</v>
      </c>
      <c r="W41" s="3">
        <v>560</v>
      </c>
      <c r="X41" s="3">
        <v>105</v>
      </c>
      <c r="Y41" s="3">
        <v>1</v>
      </c>
      <c r="Z41" s="3">
        <v>7</v>
      </c>
      <c r="AA41" s="3">
        <v>0</v>
      </c>
      <c r="AB41" s="3">
        <v>7</v>
      </c>
      <c r="AC41" s="3">
        <v>0</v>
      </c>
      <c r="AD41" s="3">
        <v>0</v>
      </c>
      <c r="AE41" s="3">
        <v>105</v>
      </c>
      <c r="AF41" s="3">
        <v>560</v>
      </c>
      <c r="AG41" s="3">
        <v>360</v>
      </c>
      <c r="AH41" s="3">
        <v>0</v>
      </c>
      <c r="AI41" s="3">
        <v>7</v>
      </c>
      <c r="AJ41" s="3">
        <v>1</v>
      </c>
      <c r="AK41" s="3">
        <v>0</v>
      </c>
      <c r="AL41" s="3">
        <v>1</v>
      </c>
      <c r="AM41" s="3">
        <v>0</v>
      </c>
      <c r="AN41" s="3">
        <v>105</v>
      </c>
      <c r="AO41" s="3">
        <v>360</v>
      </c>
      <c r="AP41" s="3">
        <v>560</v>
      </c>
      <c r="AQ41" s="3">
        <v>0</v>
      </c>
      <c r="AR41" s="3">
        <v>4</v>
      </c>
      <c r="AS41" s="3">
        <v>1</v>
      </c>
      <c r="AT41" s="3">
        <v>0</v>
      </c>
      <c r="AU41" s="3">
        <v>1</v>
      </c>
      <c r="AV41" s="3">
        <v>0</v>
      </c>
      <c r="AW41" s="3">
        <v>360</v>
      </c>
      <c r="AX41" s="3">
        <v>105</v>
      </c>
      <c r="AY41" s="3">
        <v>560</v>
      </c>
      <c r="AZ41" s="3">
        <v>1</v>
      </c>
      <c r="BA41" s="3">
        <v>1</v>
      </c>
      <c r="BB41" s="3">
        <v>1</v>
      </c>
      <c r="BC41" s="3">
        <v>1</v>
      </c>
      <c r="BD41" s="3">
        <v>1</v>
      </c>
      <c r="BE41" s="3">
        <v>1</v>
      </c>
      <c r="BF41" s="3">
        <v>560</v>
      </c>
      <c r="BG41" s="3">
        <v>105</v>
      </c>
      <c r="BH41" s="3">
        <v>360</v>
      </c>
      <c r="BI41" s="3">
        <v>2</v>
      </c>
      <c r="BJ41" s="3">
        <v>1</v>
      </c>
      <c r="BK41" s="3">
        <v>1</v>
      </c>
      <c r="BL41" s="3">
        <v>2</v>
      </c>
      <c r="BM41" s="3">
        <v>1</v>
      </c>
      <c r="BN41" s="3">
        <v>2</v>
      </c>
    </row>
    <row r="42" spans="1:66" x14ac:dyDescent="0.3">
      <c r="A42" s="2" t="str">
        <v>1</v>
      </c>
      <c r="B42" s="2">
        <v>1</v>
      </c>
      <c r="C42" s="2">
        <v>14007834</v>
      </c>
      <c r="D42" s="2" t="str">
        <v>2.0_M_CENTER BEZEL PREMIUM ASSY</v>
      </c>
      <c r="E42" s="3">
        <v>274</v>
      </c>
      <c r="F42" s="3">
        <v>76</v>
      </c>
      <c r="G42" s="3">
        <v>620</v>
      </c>
      <c r="H42" s="3">
        <v>44</v>
      </c>
      <c r="I42" s="3">
        <v>1</v>
      </c>
      <c r="J42" s="3">
        <v>44</v>
      </c>
      <c r="K42" s="3">
        <v>80</v>
      </c>
      <c r="L42" s="25" t="str">
        <v>Crate (600 x 400 x 170) mm</v>
      </c>
      <c r="M42" s="3">
        <v>560</v>
      </c>
      <c r="N42" s="3">
        <v>360</v>
      </c>
      <c r="O42" s="3">
        <v>155</v>
      </c>
      <c r="P42" s="3">
        <v>2</v>
      </c>
      <c r="Q42" s="3">
        <v>4</v>
      </c>
      <c r="R42" s="3">
        <v>0</v>
      </c>
      <c r="S42" s="3">
        <v>8</v>
      </c>
      <c r="T42" s="3">
        <v>0</v>
      </c>
      <c r="U42" s="3">
        <v>0</v>
      </c>
      <c r="V42" s="3">
        <v>360</v>
      </c>
      <c r="W42" s="3">
        <v>560</v>
      </c>
      <c r="X42" s="3">
        <v>155</v>
      </c>
      <c r="Y42" s="3">
        <v>1</v>
      </c>
      <c r="Z42" s="3">
        <v>6</v>
      </c>
      <c r="AA42" s="3">
        <v>0</v>
      </c>
      <c r="AB42" s="3">
        <v>6</v>
      </c>
      <c r="AC42" s="3">
        <v>0</v>
      </c>
      <c r="AD42" s="3">
        <v>0</v>
      </c>
      <c r="AE42" s="3">
        <v>155</v>
      </c>
      <c r="AF42" s="3">
        <v>560</v>
      </c>
      <c r="AG42" s="3">
        <v>360</v>
      </c>
      <c r="AH42" s="3">
        <v>0</v>
      </c>
      <c r="AI42" s="3">
        <v>6</v>
      </c>
      <c r="AJ42" s="3">
        <v>0</v>
      </c>
      <c r="AK42" s="3">
        <v>0</v>
      </c>
      <c r="AL42" s="3">
        <v>0</v>
      </c>
      <c r="AM42" s="3">
        <v>0</v>
      </c>
      <c r="AN42" s="3">
        <v>155</v>
      </c>
      <c r="AO42" s="3">
        <v>360</v>
      </c>
      <c r="AP42" s="3">
        <v>560</v>
      </c>
      <c r="AQ42" s="3">
        <v>0</v>
      </c>
      <c r="AR42" s="3">
        <v>4</v>
      </c>
      <c r="AS42" s="3">
        <v>0</v>
      </c>
      <c r="AT42" s="3">
        <v>0</v>
      </c>
      <c r="AU42" s="3">
        <v>0</v>
      </c>
      <c r="AV42" s="3">
        <v>0</v>
      </c>
      <c r="AW42" s="3">
        <v>360</v>
      </c>
      <c r="AX42" s="3">
        <v>155</v>
      </c>
      <c r="AY42" s="3">
        <v>560</v>
      </c>
      <c r="AZ42" s="3">
        <v>1</v>
      </c>
      <c r="BA42" s="3">
        <v>1</v>
      </c>
      <c r="BB42" s="3">
        <v>0</v>
      </c>
      <c r="BC42" s="3">
        <v>1</v>
      </c>
      <c r="BD42" s="3">
        <v>0</v>
      </c>
      <c r="BE42" s="3">
        <v>0</v>
      </c>
      <c r="BF42" s="3">
        <v>560</v>
      </c>
      <c r="BG42" s="3">
        <v>155</v>
      </c>
      <c r="BH42" s="3">
        <v>360</v>
      </c>
      <c r="BI42" s="3">
        <v>2</v>
      </c>
      <c r="BJ42" s="3">
        <v>1</v>
      </c>
      <c r="BK42" s="3">
        <v>0</v>
      </c>
      <c r="BL42" s="3">
        <v>2</v>
      </c>
      <c r="BM42" s="3">
        <v>0</v>
      </c>
      <c r="BN42" s="3">
        <v>0</v>
      </c>
    </row>
    <row r="43" spans="1:66" x14ac:dyDescent="0.3">
      <c r="A43" s="2" t="str">
        <v>1</v>
      </c>
      <c r="B43" s="2">
        <v>2</v>
      </c>
      <c r="C43" s="2">
        <v>14007835</v>
      </c>
      <c r="D43" s="2" t="str">
        <v>SHROUD UPPER</v>
      </c>
      <c r="E43" s="3">
        <v>225</v>
      </c>
      <c r="F43" s="3">
        <v>125</v>
      </c>
      <c r="G43" s="3">
        <v>190</v>
      </c>
      <c r="H43" s="3">
        <v>96</v>
      </c>
      <c r="I43" s="3">
        <v>2</v>
      </c>
      <c r="J43" s="3">
        <v>192</v>
      </c>
      <c r="K43" s="3">
        <v>18</v>
      </c>
      <c r="L43" s="25" t="str">
        <v>Crate (600 x 400 x 170) mm</v>
      </c>
      <c r="M43" s="3">
        <v>560</v>
      </c>
      <c r="N43" s="3">
        <v>360</v>
      </c>
      <c r="O43" s="3">
        <v>155</v>
      </c>
      <c r="P43" s="3">
        <v>2</v>
      </c>
      <c r="Q43" s="3">
        <v>2</v>
      </c>
      <c r="R43" s="3">
        <v>0</v>
      </c>
      <c r="S43" s="3">
        <v>4</v>
      </c>
      <c r="T43" s="3">
        <v>0</v>
      </c>
      <c r="U43" s="3">
        <v>0</v>
      </c>
      <c r="V43" s="3">
        <v>360</v>
      </c>
      <c r="W43" s="3">
        <v>560</v>
      </c>
      <c r="X43" s="3">
        <v>155</v>
      </c>
      <c r="Y43" s="3">
        <v>1</v>
      </c>
      <c r="Z43" s="3">
        <v>4</v>
      </c>
      <c r="AA43" s="3">
        <v>0</v>
      </c>
      <c r="AB43" s="3">
        <v>4</v>
      </c>
      <c r="AC43" s="3">
        <v>0</v>
      </c>
      <c r="AD43" s="3">
        <v>0</v>
      </c>
      <c r="AE43" s="3">
        <v>155</v>
      </c>
      <c r="AF43" s="3">
        <v>560</v>
      </c>
      <c r="AG43" s="3">
        <v>360</v>
      </c>
      <c r="AH43" s="3">
        <v>0</v>
      </c>
      <c r="AI43" s="3">
        <v>4</v>
      </c>
      <c r="AJ43" s="3">
        <v>1</v>
      </c>
      <c r="AK43" s="3">
        <v>0</v>
      </c>
      <c r="AL43" s="3">
        <v>1</v>
      </c>
      <c r="AM43" s="3">
        <v>0</v>
      </c>
      <c r="AN43" s="3">
        <v>155</v>
      </c>
      <c r="AO43" s="3">
        <v>360</v>
      </c>
      <c r="AP43" s="3">
        <v>560</v>
      </c>
      <c r="AQ43" s="3">
        <v>0</v>
      </c>
      <c r="AR43" s="3">
        <v>2</v>
      </c>
      <c r="AS43" s="3">
        <v>2</v>
      </c>
      <c r="AT43" s="3">
        <v>0</v>
      </c>
      <c r="AU43" s="3">
        <v>2</v>
      </c>
      <c r="AV43" s="3">
        <v>0</v>
      </c>
      <c r="AW43" s="3">
        <v>360</v>
      </c>
      <c r="AX43" s="3">
        <v>155</v>
      </c>
      <c r="AY43" s="3">
        <v>560</v>
      </c>
      <c r="AZ43" s="3">
        <v>1</v>
      </c>
      <c r="BA43" s="3">
        <v>1</v>
      </c>
      <c r="BB43" s="3">
        <v>2</v>
      </c>
      <c r="BC43" s="3">
        <v>1</v>
      </c>
      <c r="BD43" s="3">
        <v>2</v>
      </c>
      <c r="BE43" s="3">
        <v>2</v>
      </c>
      <c r="BF43" s="3">
        <v>560</v>
      </c>
      <c r="BG43" s="3">
        <v>155</v>
      </c>
      <c r="BH43" s="3">
        <v>360</v>
      </c>
      <c r="BI43" s="3">
        <v>2</v>
      </c>
      <c r="BJ43" s="3">
        <v>1</v>
      </c>
      <c r="BK43" s="3">
        <v>1</v>
      </c>
      <c r="BL43" s="3">
        <v>2</v>
      </c>
      <c r="BM43" s="3">
        <v>1</v>
      </c>
      <c r="BN43" s="3">
        <v>2</v>
      </c>
    </row>
    <row r="44" spans="1:66" x14ac:dyDescent="0.3">
      <c r="A44" s="2" t="str">
        <v>1</v>
      </c>
      <c r="B44" s="2">
        <v>3</v>
      </c>
      <c r="C44" s="2">
        <v>14007836</v>
      </c>
      <c r="D44" s="2" t="str">
        <v>SHROUD LOWER</v>
      </c>
      <c r="E44" s="3">
        <v>435</v>
      </c>
      <c r="F44" s="3">
        <v>100</v>
      </c>
      <c r="G44" s="3">
        <v>210</v>
      </c>
      <c r="H44" s="3">
        <v>48</v>
      </c>
      <c r="I44" s="3">
        <v>1</v>
      </c>
      <c r="J44" s="3">
        <v>48</v>
      </c>
      <c r="K44" s="3">
        <v>75</v>
      </c>
      <c r="L44" s="25" t="str">
        <v>Crate (600 x 400 x 170) mm</v>
      </c>
      <c r="M44" s="3">
        <v>560</v>
      </c>
      <c r="N44" s="3">
        <v>360</v>
      </c>
      <c r="O44" s="3">
        <v>155</v>
      </c>
      <c r="P44" s="3">
        <v>1</v>
      </c>
      <c r="Q44" s="3">
        <v>3</v>
      </c>
      <c r="R44" s="3">
        <v>0</v>
      </c>
      <c r="S44" s="3">
        <v>3</v>
      </c>
      <c r="T44" s="3">
        <v>0</v>
      </c>
      <c r="U44" s="3">
        <v>0</v>
      </c>
      <c r="V44" s="3">
        <v>360</v>
      </c>
      <c r="W44" s="3">
        <v>560</v>
      </c>
      <c r="X44" s="3">
        <v>155</v>
      </c>
      <c r="Y44" s="3">
        <v>0</v>
      </c>
      <c r="Z44" s="3">
        <v>5</v>
      </c>
      <c r="AA44" s="3">
        <v>0</v>
      </c>
      <c r="AB44" s="3">
        <v>0</v>
      </c>
      <c r="AC44" s="3">
        <v>0</v>
      </c>
      <c r="AD44" s="3">
        <v>0</v>
      </c>
      <c r="AE44" s="3">
        <v>155</v>
      </c>
      <c r="AF44" s="3">
        <v>560</v>
      </c>
      <c r="AG44" s="3">
        <v>360</v>
      </c>
      <c r="AH44" s="3">
        <v>0</v>
      </c>
      <c r="AI44" s="3">
        <v>5</v>
      </c>
      <c r="AJ44" s="3">
        <v>1</v>
      </c>
      <c r="AK44" s="3">
        <v>0</v>
      </c>
      <c r="AL44" s="3">
        <v>1</v>
      </c>
      <c r="AM44" s="3">
        <v>0</v>
      </c>
      <c r="AN44" s="3">
        <v>155</v>
      </c>
      <c r="AO44" s="3">
        <v>360</v>
      </c>
      <c r="AP44" s="3">
        <v>560</v>
      </c>
      <c r="AQ44" s="3">
        <v>0</v>
      </c>
      <c r="AR44" s="3">
        <v>3</v>
      </c>
      <c r="AS44" s="3">
        <v>2</v>
      </c>
      <c r="AT44" s="3">
        <v>0</v>
      </c>
      <c r="AU44" s="3">
        <v>2</v>
      </c>
      <c r="AV44" s="3">
        <v>0</v>
      </c>
      <c r="AW44" s="3">
        <v>360</v>
      </c>
      <c r="AX44" s="3">
        <v>155</v>
      </c>
      <c r="AY44" s="3">
        <v>560</v>
      </c>
      <c r="AZ44" s="3">
        <v>0</v>
      </c>
      <c r="BA44" s="3">
        <v>1</v>
      </c>
      <c r="BB44" s="3">
        <v>2</v>
      </c>
      <c r="BC44" s="3">
        <v>0</v>
      </c>
      <c r="BD44" s="3">
        <v>2</v>
      </c>
      <c r="BE44" s="3">
        <v>0</v>
      </c>
      <c r="BF44" s="3">
        <v>560</v>
      </c>
      <c r="BG44" s="3">
        <v>155</v>
      </c>
      <c r="BH44" s="3">
        <v>360</v>
      </c>
      <c r="BI44" s="3">
        <v>1</v>
      </c>
      <c r="BJ44" s="3">
        <v>1</v>
      </c>
      <c r="BK44" s="3">
        <v>1</v>
      </c>
      <c r="BL44" s="3">
        <v>1</v>
      </c>
      <c r="BM44" s="3">
        <v>1</v>
      </c>
      <c r="BN44" s="3">
        <v>1</v>
      </c>
    </row>
    <row r="45" spans="1:66" x14ac:dyDescent="0.3">
      <c r="A45" s="2" t="str">
        <v>1</v>
      </c>
      <c r="B45" s="2">
        <v>4</v>
      </c>
      <c r="C45" s="2">
        <v>14007837</v>
      </c>
      <c r="D45" s="2" t="str">
        <v>CLUSTER BEZEL LOWER ASSY</v>
      </c>
      <c r="E45" s="3">
        <v>365</v>
      </c>
      <c r="F45" s="3">
        <v>63</v>
      </c>
      <c r="G45" s="3">
        <v>225</v>
      </c>
      <c r="H45" s="3">
        <v>96</v>
      </c>
      <c r="I45" s="3">
        <v>1</v>
      </c>
      <c r="J45" s="3">
        <v>96</v>
      </c>
      <c r="K45" s="3">
        <v>38</v>
      </c>
      <c r="L45" s="25" t="str">
        <v>Crate (600 x 400 x 170) mm</v>
      </c>
      <c r="M45" s="3">
        <v>560</v>
      </c>
      <c r="N45" s="3">
        <v>360</v>
      </c>
      <c r="O45" s="3">
        <v>155</v>
      </c>
      <c r="P45" s="3">
        <v>1</v>
      </c>
      <c r="Q45" s="3">
        <v>5</v>
      </c>
      <c r="R45" s="3">
        <v>0</v>
      </c>
      <c r="S45" s="3">
        <v>5</v>
      </c>
      <c r="T45" s="3">
        <v>0</v>
      </c>
      <c r="U45" s="3">
        <v>0</v>
      </c>
      <c r="V45" s="3">
        <v>360</v>
      </c>
      <c r="W45" s="3">
        <v>560</v>
      </c>
      <c r="X45" s="3">
        <v>155</v>
      </c>
      <c r="Y45" s="3">
        <v>0</v>
      </c>
      <c r="Z45" s="3">
        <v>8</v>
      </c>
      <c r="AA45" s="3">
        <v>0</v>
      </c>
      <c r="AB45" s="3">
        <v>0</v>
      </c>
      <c r="AC45" s="3">
        <v>0</v>
      </c>
      <c r="AD45" s="3">
        <v>0</v>
      </c>
      <c r="AE45" s="3">
        <v>155</v>
      </c>
      <c r="AF45" s="3">
        <v>560</v>
      </c>
      <c r="AG45" s="3">
        <v>360</v>
      </c>
      <c r="AH45" s="3">
        <v>0</v>
      </c>
      <c r="AI45" s="3">
        <v>8</v>
      </c>
      <c r="AJ45" s="3">
        <v>1</v>
      </c>
      <c r="AK45" s="3">
        <v>0</v>
      </c>
      <c r="AL45" s="3">
        <v>1</v>
      </c>
      <c r="AM45" s="3">
        <v>0</v>
      </c>
      <c r="AN45" s="3">
        <v>155</v>
      </c>
      <c r="AO45" s="3">
        <v>360</v>
      </c>
      <c r="AP45" s="3">
        <v>560</v>
      </c>
      <c r="AQ45" s="3">
        <v>0</v>
      </c>
      <c r="AR45" s="3">
        <v>5</v>
      </c>
      <c r="AS45" s="3">
        <v>2</v>
      </c>
      <c r="AT45" s="3">
        <v>0</v>
      </c>
      <c r="AU45" s="3">
        <v>2</v>
      </c>
      <c r="AV45" s="3">
        <v>0</v>
      </c>
      <c r="AW45" s="3">
        <v>360</v>
      </c>
      <c r="AX45" s="3">
        <v>155</v>
      </c>
      <c r="AY45" s="3">
        <v>560</v>
      </c>
      <c r="AZ45" s="3">
        <v>0</v>
      </c>
      <c r="BA45" s="3">
        <v>2</v>
      </c>
      <c r="BB45" s="3">
        <v>2</v>
      </c>
      <c r="BC45" s="3">
        <v>0</v>
      </c>
      <c r="BD45" s="3">
        <v>2</v>
      </c>
      <c r="BE45" s="3">
        <v>0</v>
      </c>
      <c r="BF45" s="3">
        <v>560</v>
      </c>
      <c r="BG45" s="3">
        <v>155</v>
      </c>
      <c r="BH45" s="3">
        <v>360</v>
      </c>
      <c r="BI45" s="3">
        <v>1</v>
      </c>
      <c r="BJ45" s="3">
        <v>2</v>
      </c>
      <c r="BK45" s="3">
        <v>1</v>
      </c>
      <c r="BL45" s="3">
        <v>2</v>
      </c>
      <c r="BM45" s="3">
        <v>1</v>
      </c>
      <c r="BN45" s="3">
        <v>2</v>
      </c>
    </row>
    <row r="46" spans="1:66" x14ac:dyDescent="0.3">
      <c r="A46" s="2" t="str">
        <v>1</v>
      </c>
      <c r="B46" s="2">
        <v>5</v>
      </c>
      <c r="C46" s="2">
        <v>14007838</v>
      </c>
      <c r="D46" s="2" t="str">
        <v>DRIVER SIDE BOOSTER COVER ASSY</v>
      </c>
      <c r="E46" s="3">
        <v>410</v>
      </c>
      <c r="F46" s="3">
        <v>280</v>
      </c>
      <c r="G46" s="3">
        <v>160</v>
      </c>
      <c r="H46" s="3">
        <v>16</v>
      </c>
      <c r="I46" s="3">
        <v>1</v>
      </c>
      <c r="J46" s="3">
        <v>16</v>
      </c>
      <c r="K46" s="3">
        <v>202</v>
      </c>
      <c r="L46" s="25" t="str">
        <v>Crate (600 x 400 x 170) mm</v>
      </c>
      <c r="M46" s="3">
        <v>560</v>
      </c>
      <c r="N46" s="3">
        <v>360</v>
      </c>
      <c r="O46" s="3">
        <v>155</v>
      </c>
      <c r="P46" s="3">
        <v>1</v>
      </c>
      <c r="Q46" s="3">
        <v>1</v>
      </c>
      <c r="R46" s="3">
        <v>0</v>
      </c>
      <c r="S46" s="3">
        <v>1</v>
      </c>
      <c r="T46" s="3">
        <v>0</v>
      </c>
      <c r="U46" s="3">
        <v>0</v>
      </c>
      <c r="V46" s="3">
        <v>360</v>
      </c>
      <c r="W46" s="3">
        <v>560</v>
      </c>
      <c r="X46" s="3">
        <v>155</v>
      </c>
      <c r="Y46" s="3">
        <v>0</v>
      </c>
      <c r="Z46" s="3">
        <v>1</v>
      </c>
      <c r="AA46" s="3">
        <v>0</v>
      </c>
      <c r="AB46" s="3">
        <v>0</v>
      </c>
      <c r="AC46" s="3">
        <v>0</v>
      </c>
      <c r="AD46" s="3">
        <v>0</v>
      </c>
      <c r="AE46" s="3">
        <v>155</v>
      </c>
      <c r="AF46" s="3">
        <v>560</v>
      </c>
      <c r="AG46" s="3">
        <v>360</v>
      </c>
      <c r="AH46" s="3">
        <v>0</v>
      </c>
      <c r="AI46" s="3">
        <v>1</v>
      </c>
      <c r="AJ46" s="3">
        <v>2</v>
      </c>
      <c r="AK46" s="3">
        <v>0</v>
      </c>
      <c r="AL46" s="3">
        <v>2</v>
      </c>
      <c r="AM46" s="3">
        <v>0</v>
      </c>
      <c r="AN46" s="3">
        <v>155</v>
      </c>
      <c r="AO46" s="3">
        <v>360</v>
      </c>
      <c r="AP46" s="3">
        <v>560</v>
      </c>
      <c r="AQ46" s="3">
        <v>0</v>
      </c>
      <c r="AR46" s="3">
        <v>1</v>
      </c>
      <c r="AS46" s="3">
        <v>3</v>
      </c>
      <c r="AT46" s="3">
        <v>0</v>
      </c>
      <c r="AU46" s="3">
        <v>3</v>
      </c>
      <c r="AV46" s="3">
        <v>0</v>
      </c>
      <c r="AW46" s="3">
        <v>360</v>
      </c>
      <c r="AX46" s="3">
        <v>155</v>
      </c>
      <c r="AY46" s="3">
        <v>560</v>
      </c>
      <c r="AZ46" s="3">
        <v>0</v>
      </c>
      <c r="BA46" s="3">
        <v>0</v>
      </c>
      <c r="BB46" s="3">
        <v>3</v>
      </c>
      <c r="BC46" s="3">
        <v>0</v>
      </c>
      <c r="BD46" s="3">
        <v>3</v>
      </c>
      <c r="BE46" s="3">
        <v>0</v>
      </c>
      <c r="BF46" s="3">
        <v>560</v>
      </c>
      <c r="BG46" s="3">
        <v>155</v>
      </c>
      <c r="BH46" s="3">
        <v>360</v>
      </c>
      <c r="BI46" s="3">
        <v>1</v>
      </c>
      <c r="BJ46" s="3">
        <v>0</v>
      </c>
      <c r="BK46" s="3">
        <v>2</v>
      </c>
      <c r="BL46" s="3">
        <v>0</v>
      </c>
      <c r="BM46" s="3">
        <v>2</v>
      </c>
      <c r="BN46" s="3">
        <v>0</v>
      </c>
    </row>
    <row r="47" spans="1:66" x14ac:dyDescent="0.3">
      <c r="A47" s="2" t="str">
        <v>1</v>
      </c>
      <c r="B47" s="2">
        <v>6</v>
      </c>
      <c r="C47" s="2">
        <v>14007839</v>
      </c>
      <c r="D47" s="2" t="str">
        <v>PASSENGER SIDE KNEE COVER RHD ASSY</v>
      </c>
      <c r="E47" s="3">
        <v>380</v>
      </c>
      <c r="F47" s="3">
        <v>110</v>
      </c>
      <c r="G47" s="3">
        <v>295</v>
      </c>
      <c r="H47" s="3">
        <v>64</v>
      </c>
      <c r="I47" s="3">
        <v>1</v>
      </c>
      <c r="J47" s="3">
        <v>64</v>
      </c>
      <c r="K47" s="3">
        <v>50</v>
      </c>
      <c r="L47" s="25" t="str">
        <v>Crate (600 x 400 x 170) mm</v>
      </c>
      <c r="M47" s="3">
        <v>560</v>
      </c>
      <c r="N47" s="3">
        <v>360</v>
      </c>
      <c r="O47" s="3">
        <v>155</v>
      </c>
      <c r="P47" s="3">
        <v>1</v>
      </c>
      <c r="Q47" s="3">
        <v>3</v>
      </c>
      <c r="R47" s="3">
        <v>0</v>
      </c>
      <c r="S47" s="3">
        <v>3</v>
      </c>
      <c r="T47" s="3">
        <v>0</v>
      </c>
      <c r="U47" s="3">
        <v>0</v>
      </c>
      <c r="V47" s="3">
        <v>360</v>
      </c>
      <c r="W47" s="3">
        <v>560</v>
      </c>
      <c r="X47" s="3">
        <v>155</v>
      </c>
      <c r="Y47" s="3">
        <v>0</v>
      </c>
      <c r="Z47" s="3">
        <v>4</v>
      </c>
      <c r="AA47" s="3">
        <v>0</v>
      </c>
      <c r="AB47" s="3">
        <v>0</v>
      </c>
      <c r="AC47" s="3">
        <v>0</v>
      </c>
      <c r="AD47" s="3">
        <v>0</v>
      </c>
      <c r="AE47" s="3">
        <v>155</v>
      </c>
      <c r="AF47" s="3">
        <v>560</v>
      </c>
      <c r="AG47" s="3">
        <v>360</v>
      </c>
      <c r="AH47" s="3">
        <v>0</v>
      </c>
      <c r="AI47" s="3">
        <v>4</v>
      </c>
      <c r="AJ47" s="3">
        <v>1</v>
      </c>
      <c r="AK47" s="3">
        <v>0</v>
      </c>
      <c r="AL47" s="3">
        <v>1</v>
      </c>
      <c r="AM47" s="3">
        <v>0</v>
      </c>
      <c r="AN47" s="3">
        <v>155</v>
      </c>
      <c r="AO47" s="3">
        <v>360</v>
      </c>
      <c r="AP47" s="3">
        <v>560</v>
      </c>
      <c r="AQ47" s="3">
        <v>0</v>
      </c>
      <c r="AR47" s="3">
        <v>3</v>
      </c>
      <c r="AS47" s="3">
        <v>1</v>
      </c>
      <c r="AT47" s="3">
        <v>0</v>
      </c>
      <c r="AU47" s="3">
        <v>1</v>
      </c>
      <c r="AV47" s="3">
        <v>0</v>
      </c>
      <c r="AW47" s="3">
        <v>360</v>
      </c>
      <c r="AX47" s="3">
        <v>155</v>
      </c>
      <c r="AY47" s="3">
        <v>560</v>
      </c>
      <c r="AZ47" s="3">
        <v>0</v>
      </c>
      <c r="BA47" s="3">
        <v>1</v>
      </c>
      <c r="BB47" s="3">
        <v>1</v>
      </c>
      <c r="BC47" s="3">
        <v>0</v>
      </c>
      <c r="BD47" s="3">
        <v>1</v>
      </c>
      <c r="BE47" s="3">
        <v>0</v>
      </c>
      <c r="BF47" s="3">
        <v>560</v>
      </c>
      <c r="BG47" s="3">
        <v>155</v>
      </c>
      <c r="BH47" s="3">
        <v>360</v>
      </c>
      <c r="BI47" s="3">
        <v>1</v>
      </c>
      <c r="BJ47" s="3">
        <v>1</v>
      </c>
      <c r="BK47" s="3">
        <v>1</v>
      </c>
      <c r="BL47" s="3">
        <v>1</v>
      </c>
      <c r="BM47" s="3">
        <v>1</v>
      </c>
      <c r="BN47" s="3">
        <v>1</v>
      </c>
    </row>
    <row r="48" spans="1:66" x14ac:dyDescent="0.3">
      <c r="A48" s="2" t="str">
        <v>1</v>
      </c>
      <c r="B48" s="2">
        <v>7</v>
      </c>
      <c r="C48" s="2">
        <v>14007840</v>
      </c>
      <c r="D48" s="2" t="str">
        <v>END CAP LH ASSY</v>
      </c>
      <c r="E48" s="3">
        <v>130</v>
      </c>
      <c r="F48" s="3">
        <v>50</v>
      </c>
      <c r="G48" s="3">
        <v>385</v>
      </c>
      <c r="H48" s="3">
        <v>192</v>
      </c>
      <c r="I48" s="3">
        <v>1</v>
      </c>
      <c r="J48" s="3">
        <v>192</v>
      </c>
      <c r="K48" s="3">
        <v>18</v>
      </c>
      <c r="L48" s="25" t="str">
        <v>Crate (600 x 400 x 170) mm</v>
      </c>
      <c r="M48" s="3">
        <v>560</v>
      </c>
      <c r="N48" s="3">
        <v>360</v>
      </c>
      <c r="O48" s="3">
        <v>155</v>
      </c>
      <c r="P48" s="3">
        <v>4</v>
      </c>
      <c r="Q48" s="3">
        <v>6</v>
      </c>
      <c r="R48" s="3">
        <v>0</v>
      </c>
      <c r="S48" s="3">
        <v>24</v>
      </c>
      <c r="T48" s="3">
        <v>0</v>
      </c>
      <c r="U48" s="3">
        <v>0</v>
      </c>
      <c r="V48" s="3">
        <v>360</v>
      </c>
      <c r="W48" s="3">
        <v>560</v>
      </c>
      <c r="X48" s="3">
        <v>155</v>
      </c>
      <c r="Y48" s="3">
        <v>2</v>
      </c>
      <c r="Z48" s="3">
        <v>10</v>
      </c>
      <c r="AA48" s="3">
        <v>0</v>
      </c>
      <c r="AB48" s="3">
        <v>20</v>
      </c>
      <c r="AC48" s="3">
        <v>0</v>
      </c>
      <c r="AD48" s="3">
        <v>0</v>
      </c>
      <c r="AE48" s="3">
        <v>155</v>
      </c>
      <c r="AF48" s="3">
        <v>560</v>
      </c>
      <c r="AG48" s="3">
        <v>360</v>
      </c>
      <c r="AH48" s="3">
        <v>1</v>
      </c>
      <c r="AI48" s="3">
        <v>10</v>
      </c>
      <c r="AJ48" s="3">
        <v>0</v>
      </c>
      <c r="AK48" s="3">
        <v>10</v>
      </c>
      <c r="AL48" s="3">
        <v>0</v>
      </c>
      <c r="AM48" s="3">
        <v>0</v>
      </c>
      <c r="AN48" s="3">
        <v>155</v>
      </c>
      <c r="AO48" s="3">
        <v>360</v>
      </c>
      <c r="AP48" s="3">
        <v>560</v>
      </c>
      <c r="AQ48" s="3">
        <v>1</v>
      </c>
      <c r="AR48" s="3">
        <v>6</v>
      </c>
      <c r="AS48" s="3">
        <v>1</v>
      </c>
      <c r="AT48" s="3">
        <v>6</v>
      </c>
      <c r="AU48" s="3">
        <v>1</v>
      </c>
      <c r="AV48" s="3">
        <v>6</v>
      </c>
      <c r="AW48" s="3">
        <v>360</v>
      </c>
      <c r="AX48" s="3">
        <v>155</v>
      </c>
      <c r="AY48" s="3">
        <v>560</v>
      </c>
      <c r="AZ48" s="3">
        <v>2</v>
      </c>
      <c r="BA48" s="3">
        <v>2</v>
      </c>
      <c r="BB48" s="3">
        <v>1</v>
      </c>
      <c r="BC48" s="3">
        <v>4</v>
      </c>
      <c r="BD48" s="3">
        <v>1</v>
      </c>
      <c r="BE48" s="3">
        <v>4</v>
      </c>
      <c r="BF48" s="3">
        <v>560</v>
      </c>
      <c r="BG48" s="3">
        <v>155</v>
      </c>
      <c r="BH48" s="3">
        <v>360</v>
      </c>
      <c r="BI48" s="3">
        <v>4</v>
      </c>
      <c r="BJ48" s="3">
        <v>2</v>
      </c>
      <c r="BK48" s="3">
        <v>0</v>
      </c>
      <c r="BL48" s="3">
        <v>8</v>
      </c>
      <c r="BM48" s="3">
        <v>0</v>
      </c>
      <c r="BN48" s="3">
        <v>0</v>
      </c>
    </row>
    <row r="49" spans="1:66" x14ac:dyDescent="0.3">
      <c r="A49" s="2" t="str">
        <v>1</v>
      </c>
      <c r="B49" s="2">
        <v>8</v>
      </c>
      <c r="C49" s="2">
        <v>14007841</v>
      </c>
      <c r="D49" s="2" t="str">
        <v>END CAP RH ASSY</v>
      </c>
      <c r="E49" s="3">
        <v>130</v>
      </c>
      <c r="F49" s="3">
        <v>50</v>
      </c>
      <c r="G49" s="3">
        <v>385</v>
      </c>
      <c r="H49" s="3">
        <v>192</v>
      </c>
      <c r="I49" s="3">
        <v>1</v>
      </c>
      <c r="J49" s="3">
        <v>192</v>
      </c>
      <c r="K49" s="3">
        <v>18</v>
      </c>
      <c r="L49" s="25" t="str">
        <v>Crate (600 x 400 x 170) mm</v>
      </c>
      <c r="M49" s="3">
        <v>560</v>
      </c>
      <c r="N49" s="3">
        <v>360</v>
      </c>
      <c r="O49" s="3">
        <v>155</v>
      </c>
      <c r="P49" s="3">
        <v>4</v>
      </c>
      <c r="Q49" s="3">
        <v>6</v>
      </c>
      <c r="R49" s="3">
        <v>0</v>
      </c>
      <c r="S49" s="3">
        <v>24</v>
      </c>
      <c r="T49" s="3">
        <v>0</v>
      </c>
      <c r="U49" s="3">
        <v>0</v>
      </c>
      <c r="V49" s="3">
        <v>360</v>
      </c>
      <c r="W49" s="3">
        <v>560</v>
      </c>
      <c r="X49" s="3">
        <v>155</v>
      </c>
      <c r="Y49" s="3">
        <v>2</v>
      </c>
      <c r="Z49" s="3">
        <v>10</v>
      </c>
      <c r="AA49" s="3">
        <v>0</v>
      </c>
      <c r="AB49" s="3">
        <v>20</v>
      </c>
      <c r="AC49" s="3">
        <v>0</v>
      </c>
      <c r="AD49" s="3">
        <v>0</v>
      </c>
      <c r="AE49" s="3">
        <v>155</v>
      </c>
      <c r="AF49" s="3">
        <v>560</v>
      </c>
      <c r="AG49" s="3">
        <v>360</v>
      </c>
      <c r="AH49" s="3">
        <v>1</v>
      </c>
      <c r="AI49" s="3">
        <v>10</v>
      </c>
      <c r="AJ49" s="3">
        <v>0</v>
      </c>
      <c r="AK49" s="3">
        <v>10</v>
      </c>
      <c r="AL49" s="3">
        <v>0</v>
      </c>
      <c r="AM49" s="3">
        <v>0</v>
      </c>
      <c r="AN49" s="3">
        <v>155</v>
      </c>
      <c r="AO49" s="3">
        <v>360</v>
      </c>
      <c r="AP49" s="3">
        <v>560</v>
      </c>
      <c r="AQ49" s="3">
        <v>1</v>
      </c>
      <c r="AR49" s="3">
        <v>6</v>
      </c>
      <c r="AS49" s="3">
        <v>1</v>
      </c>
      <c r="AT49" s="3">
        <v>6</v>
      </c>
      <c r="AU49" s="3">
        <v>1</v>
      </c>
      <c r="AV49" s="3">
        <v>6</v>
      </c>
      <c r="AW49" s="3">
        <v>360</v>
      </c>
      <c r="AX49" s="3">
        <v>155</v>
      </c>
      <c r="AY49" s="3">
        <v>560</v>
      </c>
      <c r="AZ49" s="3">
        <v>2</v>
      </c>
      <c r="BA49" s="3">
        <v>2</v>
      </c>
      <c r="BB49" s="3">
        <v>1</v>
      </c>
      <c r="BC49" s="3">
        <v>4</v>
      </c>
      <c r="BD49" s="3">
        <v>1</v>
      </c>
      <c r="BE49" s="3">
        <v>4</v>
      </c>
      <c r="BF49" s="3">
        <v>560</v>
      </c>
      <c r="BG49" s="3">
        <v>155</v>
      </c>
      <c r="BH49" s="3">
        <v>360</v>
      </c>
      <c r="BI49" s="3">
        <v>4</v>
      </c>
      <c r="BJ49" s="3">
        <v>2</v>
      </c>
      <c r="BK49" s="3">
        <v>0</v>
      </c>
      <c r="BL49" s="3">
        <v>8</v>
      </c>
      <c r="BM49" s="3">
        <v>0</v>
      </c>
      <c r="BN49" s="3">
        <v>0</v>
      </c>
    </row>
    <row r="50" spans="1:66" x14ac:dyDescent="0.3">
      <c r="A50" s="2" t="str">
        <v>1</v>
      </c>
      <c r="B50" s="2">
        <v>9</v>
      </c>
      <c r="C50" s="2">
        <v>14007842</v>
      </c>
      <c r="D50" s="2" t="str">
        <v>DRIVER SIDE KNEE COVER RHD ASSY</v>
      </c>
      <c r="E50" s="3">
        <v>170</v>
      </c>
      <c r="F50" s="3">
        <v>70</v>
      </c>
      <c r="G50" s="3">
        <v>265</v>
      </c>
      <c r="H50" s="3">
        <v>80</v>
      </c>
      <c r="I50" s="3">
        <v>1</v>
      </c>
      <c r="J50" s="3">
        <v>80</v>
      </c>
      <c r="K50" s="3">
        <v>40</v>
      </c>
      <c r="L50" s="25" t="str">
        <v>Crate (600 x 400 x 170) mm</v>
      </c>
      <c r="M50" s="3">
        <v>560</v>
      </c>
      <c r="N50" s="3">
        <v>360</v>
      </c>
      <c r="O50" s="3">
        <v>155</v>
      </c>
      <c r="P50" s="3">
        <v>3</v>
      </c>
      <c r="Q50" s="3">
        <v>4</v>
      </c>
      <c r="R50" s="3">
        <v>0</v>
      </c>
      <c r="S50" s="3">
        <v>12</v>
      </c>
      <c r="T50" s="3">
        <v>0</v>
      </c>
      <c r="U50" s="3">
        <v>0</v>
      </c>
      <c r="V50" s="3">
        <v>360</v>
      </c>
      <c r="W50" s="3">
        <v>560</v>
      </c>
      <c r="X50" s="3">
        <v>155</v>
      </c>
      <c r="Y50" s="3">
        <v>2</v>
      </c>
      <c r="Z50" s="3">
        <v>7</v>
      </c>
      <c r="AA50" s="3">
        <v>0</v>
      </c>
      <c r="AB50" s="3">
        <v>14</v>
      </c>
      <c r="AC50" s="3">
        <v>0</v>
      </c>
      <c r="AD50" s="3">
        <v>0</v>
      </c>
      <c r="AE50" s="3">
        <v>155</v>
      </c>
      <c r="AF50" s="3">
        <v>560</v>
      </c>
      <c r="AG50" s="3">
        <v>360</v>
      </c>
      <c r="AH50" s="3">
        <v>0</v>
      </c>
      <c r="AI50" s="3">
        <v>7</v>
      </c>
      <c r="AJ50" s="3">
        <v>1</v>
      </c>
      <c r="AK50" s="3">
        <v>0</v>
      </c>
      <c r="AL50" s="3">
        <v>1</v>
      </c>
      <c r="AM50" s="3">
        <v>0</v>
      </c>
      <c r="AN50" s="3">
        <v>155</v>
      </c>
      <c r="AO50" s="3">
        <v>360</v>
      </c>
      <c r="AP50" s="3">
        <v>560</v>
      </c>
      <c r="AQ50" s="3">
        <v>0</v>
      </c>
      <c r="AR50" s="3">
        <v>4</v>
      </c>
      <c r="AS50" s="3">
        <v>2</v>
      </c>
      <c r="AT50" s="3">
        <v>0</v>
      </c>
      <c r="AU50" s="3">
        <v>2</v>
      </c>
      <c r="AV50" s="3">
        <v>0</v>
      </c>
      <c r="AW50" s="3">
        <v>360</v>
      </c>
      <c r="AX50" s="3">
        <v>155</v>
      </c>
      <c r="AY50" s="3">
        <v>560</v>
      </c>
      <c r="AZ50" s="3">
        <v>2</v>
      </c>
      <c r="BA50" s="3">
        <v>2</v>
      </c>
      <c r="BB50" s="3">
        <v>2</v>
      </c>
      <c r="BC50" s="3">
        <v>4</v>
      </c>
      <c r="BD50" s="3">
        <v>2</v>
      </c>
      <c r="BE50" s="3">
        <v>8</v>
      </c>
      <c r="BF50" s="3">
        <v>560</v>
      </c>
      <c r="BG50" s="3">
        <v>155</v>
      </c>
      <c r="BH50" s="3">
        <v>360</v>
      </c>
      <c r="BI50" s="3">
        <v>3</v>
      </c>
      <c r="BJ50" s="3">
        <v>2</v>
      </c>
      <c r="BK50" s="3">
        <v>1</v>
      </c>
      <c r="BL50" s="3">
        <v>6</v>
      </c>
      <c r="BM50" s="3">
        <v>1</v>
      </c>
      <c r="BN50" s="3">
        <v>6</v>
      </c>
    </row>
    <row r="51" spans="1:66" x14ac:dyDescent="0.3">
      <c r="A51" s="2" t="str">
        <v>1</v>
      </c>
      <c r="B51" s="2">
        <v>10</v>
      </c>
      <c r="C51" s="2">
        <v>14007843</v>
      </c>
      <c r="D51" s="2" t="str">
        <v>DIN_BIN</v>
      </c>
      <c r="E51" s="3">
        <v>225</v>
      </c>
      <c r="F51" s="3">
        <v>70</v>
      </c>
      <c r="G51" s="3">
        <v>310</v>
      </c>
      <c r="H51" s="3">
        <v>192</v>
      </c>
      <c r="I51" s="3">
        <v>3</v>
      </c>
      <c r="J51" s="3">
        <v>576</v>
      </c>
      <c r="K51" s="3">
        <v>6</v>
      </c>
      <c r="L51" s="25" t="str">
        <v>Crate (600 x 400 x 170) mm</v>
      </c>
      <c r="M51" s="3">
        <v>560</v>
      </c>
      <c r="N51" s="3">
        <v>360</v>
      </c>
      <c r="O51" s="3">
        <v>155</v>
      </c>
      <c r="P51" s="3">
        <v>2</v>
      </c>
      <c r="Q51" s="3">
        <v>4</v>
      </c>
      <c r="R51" s="3">
        <v>0</v>
      </c>
      <c r="S51" s="3">
        <v>8</v>
      </c>
      <c r="T51" s="3">
        <v>0</v>
      </c>
      <c r="U51" s="3">
        <v>0</v>
      </c>
      <c r="V51" s="3">
        <v>360</v>
      </c>
      <c r="W51" s="3">
        <v>560</v>
      </c>
      <c r="X51" s="3">
        <v>155</v>
      </c>
      <c r="Y51" s="3">
        <v>1</v>
      </c>
      <c r="Z51" s="3">
        <v>7</v>
      </c>
      <c r="AA51" s="3">
        <v>0</v>
      </c>
      <c r="AB51" s="3">
        <v>7</v>
      </c>
      <c r="AC51" s="3">
        <v>0</v>
      </c>
      <c r="AD51" s="3">
        <v>0</v>
      </c>
      <c r="AE51" s="3">
        <v>155</v>
      </c>
      <c r="AF51" s="3">
        <v>560</v>
      </c>
      <c r="AG51" s="3">
        <v>360</v>
      </c>
      <c r="AH51" s="3">
        <v>0</v>
      </c>
      <c r="AI51" s="3">
        <v>7</v>
      </c>
      <c r="AJ51" s="3">
        <v>1</v>
      </c>
      <c r="AK51" s="3">
        <v>0</v>
      </c>
      <c r="AL51" s="3">
        <v>1</v>
      </c>
      <c r="AM51" s="3">
        <v>0</v>
      </c>
      <c r="AN51" s="3">
        <v>155</v>
      </c>
      <c r="AO51" s="3">
        <v>360</v>
      </c>
      <c r="AP51" s="3">
        <v>560</v>
      </c>
      <c r="AQ51" s="3">
        <v>0</v>
      </c>
      <c r="AR51" s="3">
        <v>4</v>
      </c>
      <c r="AS51" s="3">
        <v>1</v>
      </c>
      <c r="AT51" s="3">
        <v>0</v>
      </c>
      <c r="AU51" s="3">
        <v>1</v>
      </c>
      <c r="AV51" s="3">
        <v>0</v>
      </c>
      <c r="AW51" s="3">
        <v>360</v>
      </c>
      <c r="AX51" s="3">
        <v>155</v>
      </c>
      <c r="AY51" s="3">
        <v>560</v>
      </c>
      <c r="AZ51" s="3">
        <v>1</v>
      </c>
      <c r="BA51" s="3">
        <v>2</v>
      </c>
      <c r="BB51" s="3">
        <v>1</v>
      </c>
      <c r="BC51" s="3">
        <v>2</v>
      </c>
      <c r="BD51" s="3">
        <v>1</v>
      </c>
      <c r="BE51" s="3">
        <v>2</v>
      </c>
      <c r="BF51" s="3">
        <v>560</v>
      </c>
      <c r="BG51" s="3">
        <v>155</v>
      </c>
      <c r="BH51" s="3">
        <v>360</v>
      </c>
      <c r="BI51" s="3">
        <v>2</v>
      </c>
      <c r="BJ51" s="3">
        <v>2</v>
      </c>
      <c r="BK51" s="3">
        <v>1</v>
      </c>
      <c r="BL51" s="3">
        <v>4</v>
      </c>
      <c r="BM51" s="3">
        <v>1</v>
      </c>
      <c r="BN51" s="3">
        <v>4</v>
      </c>
    </row>
    <row r="52" spans="1:66" x14ac:dyDescent="0.3">
      <c r="A52" s="2" t="str">
        <v>1</v>
      </c>
      <c r="B52" s="2">
        <v>1</v>
      </c>
      <c r="C52" s="2">
        <v>14007834</v>
      </c>
      <c r="D52" s="2" t="str">
        <v>2.0_M_CENTER BEZEL PREMIUM ASSY</v>
      </c>
      <c r="E52" s="3">
        <v>274</v>
      </c>
      <c r="F52" s="3">
        <v>76</v>
      </c>
      <c r="G52" s="3">
        <v>620</v>
      </c>
      <c r="H52" s="3">
        <v>44</v>
      </c>
      <c r="I52" s="3">
        <v>1</v>
      </c>
      <c r="J52" s="3">
        <v>44</v>
      </c>
      <c r="K52" s="3">
        <v>80</v>
      </c>
      <c r="L52" s="25" t="str">
        <v>Crate (600 x 400 x 220) mm</v>
      </c>
      <c r="M52" s="3">
        <v>560</v>
      </c>
      <c r="N52" s="3">
        <v>360</v>
      </c>
      <c r="O52" s="3">
        <v>205</v>
      </c>
      <c r="P52" s="3">
        <v>2</v>
      </c>
      <c r="Q52" s="3">
        <v>4</v>
      </c>
      <c r="R52" s="3">
        <v>0</v>
      </c>
      <c r="S52" s="3">
        <v>8</v>
      </c>
      <c r="T52" s="3">
        <v>0</v>
      </c>
      <c r="U52" s="3">
        <v>0</v>
      </c>
      <c r="V52" s="3">
        <v>360</v>
      </c>
      <c r="W52" s="3">
        <v>560</v>
      </c>
      <c r="X52" s="3">
        <v>205</v>
      </c>
      <c r="Y52" s="3">
        <v>1</v>
      </c>
      <c r="Z52" s="3">
        <v>6</v>
      </c>
      <c r="AA52" s="3">
        <v>0</v>
      </c>
      <c r="AB52" s="3">
        <v>6</v>
      </c>
      <c r="AC52" s="3">
        <v>0</v>
      </c>
      <c r="AD52" s="3">
        <v>0</v>
      </c>
      <c r="AE52" s="3">
        <v>205</v>
      </c>
      <c r="AF52" s="3">
        <v>560</v>
      </c>
      <c r="AG52" s="3">
        <v>360</v>
      </c>
      <c r="AH52" s="3">
        <v>0</v>
      </c>
      <c r="AI52" s="3">
        <v>6</v>
      </c>
      <c r="AJ52" s="3">
        <v>0</v>
      </c>
      <c r="AK52" s="3">
        <v>0</v>
      </c>
      <c r="AL52" s="3">
        <v>0</v>
      </c>
      <c r="AM52" s="3">
        <v>0</v>
      </c>
      <c r="AN52" s="3">
        <v>205</v>
      </c>
      <c r="AO52" s="3">
        <v>360</v>
      </c>
      <c r="AP52" s="3">
        <v>560</v>
      </c>
      <c r="AQ52" s="3">
        <v>0</v>
      </c>
      <c r="AR52" s="3">
        <v>4</v>
      </c>
      <c r="AS52" s="3">
        <v>0</v>
      </c>
      <c r="AT52" s="3">
        <v>0</v>
      </c>
      <c r="AU52" s="3">
        <v>0</v>
      </c>
      <c r="AV52" s="3">
        <v>0</v>
      </c>
      <c r="AW52" s="3">
        <v>360</v>
      </c>
      <c r="AX52" s="3">
        <v>205</v>
      </c>
      <c r="AY52" s="3">
        <v>560</v>
      </c>
      <c r="AZ52" s="3">
        <v>1</v>
      </c>
      <c r="BA52" s="3">
        <v>2</v>
      </c>
      <c r="BB52" s="3">
        <v>0</v>
      </c>
      <c r="BC52" s="3">
        <v>2</v>
      </c>
      <c r="BD52" s="3">
        <v>0</v>
      </c>
      <c r="BE52" s="3">
        <v>0</v>
      </c>
      <c r="BF52" s="3">
        <v>560</v>
      </c>
      <c r="BG52" s="3">
        <v>205</v>
      </c>
      <c r="BH52" s="3">
        <v>360</v>
      </c>
      <c r="BI52" s="3">
        <v>2</v>
      </c>
      <c r="BJ52" s="3">
        <v>2</v>
      </c>
      <c r="BK52" s="3">
        <v>0</v>
      </c>
      <c r="BL52" s="3">
        <v>4</v>
      </c>
      <c r="BM52" s="3">
        <v>0</v>
      </c>
      <c r="BN52" s="3">
        <v>0</v>
      </c>
    </row>
    <row r="53" spans="1:66" x14ac:dyDescent="0.3">
      <c r="A53" s="2" t="str">
        <v>1</v>
      </c>
      <c r="B53" s="2">
        <v>2</v>
      </c>
      <c r="C53" s="2">
        <v>14007835</v>
      </c>
      <c r="D53" s="2" t="str">
        <v>SHROUD UPPER</v>
      </c>
      <c r="E53" s="3">
        <v>225</v>
      </c>
      <c r="F53" s="3">
        <v>125</v>
      </c>
      <c r="G53" s="3">
        <v>190</v>
      </c>
      <c r="H53" s="3">
        <v>96</v>
      </c>
      <c r="I53" s="3">
        <v>2</v>
      </c>
      <c r="J53" s="3">
        <v>192</v>
      </c>
      <c r="K53" s="3">
        <v>18</v>
      </c>
      <c r="L53" s="25" t="str">
        <v>Crate (600 x 400 x 220) mm</v>
      </c>
      <c r="M53" s="3">
        <v>560</v>
      </c>
      <c r="N53" s="3">
        <v>360</v>
      </c>
      <c r="O53" s="3">
        <v>205</v>
      </c>
      <c r="P53" s="3">
        <v>2</v>
      </c>
      <c r="Q53" s="3">
        <v>2</v>
      </c>
      <c r="R53" s="3">
        <v>1</v>
      </c>
      <c r="S53" s="3">
        <v>4</v>
      </c>
      <c r="T53" s="3">
        <v>1</v>
      </c>
      <c r="U53" s="3">
        <v>4</v>
      </c>
      <c r="V53" s="3">
        <v>360</v>
      </c>
      <c r="W53" s="3">
        <v>560</v>
      </c>
      <c r="X53" s="3">
        <v>205</v>
      </c>
      <c r="Y53" s="3">
        <v>1</v>
      </c>
      <c r="Z53" s="3">
        <v>4</v>
      </c>
      <c r="AA53" s="3">
        <v>1</v>
      </c>
      <c r="AB53" s="3">
        <v>4</v>
      </c>
      <c r="AC53" s="3">
        <v>1</v>
      </c>
      <c r="AD53" s="3">
        <v>4</v>
      </c>
      <c r="AE53" s="3">
        <v>205</v>
      </c>
      <c r="AF53" s="3">
        <v>560</v>
      </c>
      <c r="AG53" s="3">
        <v>360</v>
      </c>
      <c r="AH53" s="3">
        <v>0</v>
      </c>
      <c r="AI53" s="3">
        <v>4</v>
      </c>
      <c r="AJ53" s="3">
        <v>1</v>
      </c>
      <c r="AK53" s="3">
        <v>0</v>
      </c>
      <c r="AL53" s="3">
        <v>1</v>
      </c>
      <c r="AM53" s="3">
        <v>0</v>
      </c>
      <c r="AN53" s="3">
        <v>205</v>
      </c>
      <c r="AO53" s="3">
        <v>360</v>
      </c>
      <c r="AP53" s="3">
        <v>560</v>
      </c>
      <c r="AQ53" s="3">
        <v>0</v>
      </c>
      <c r="AR53" s="3">
        <v>2</v>
      </c>
      <c r="AS53" s="3">
        <v>2</v>
      </c>
      <c r="AT53" s="3">
        <v>0</v>
      </c>
      <c r="AU53" s="3">
        <v>2</v>
      </c>
      <c r="AV53" s="3">
        <v>0</v>
      </c>
      <c r="AW53" s="3">
        <v>360</v>
      </c>
      <c r="AX53" s="3">
        <v>205</v>
      </c>
      <c r="AY53" s="3">
        <v>560</v>
      </c>
      <c r="AZ53" s="3">
        <v>1</v>
      </c>
      <c r="BA53" s="3">
        <v>1</v>
      </c>
      <c r="BB53" s="3">
        <v>2</v>
      </c>
      <c r="BC53" s="3">
        <v>1</v>
      </c>
      <c r="BD53" s="3">
        <v>2</v>
      </c>
      <c r="BE53" s="3">
        <v>2</v>
      </c>
      <c r="BF53" s="3">
        <v>560</v>
      </c>
      <c r="BG53" s="3">
        <v>205</v>
      </c>
      <c r="BH53" s="3">
        <v>360</v>
      </c>
      <c r="BI53" s="3">
        <v>2</v>
      </c>
      <c r="BJ53" s="3">
        <v>1</v>
      </c>
      <c r="BK53" s="3">
        <v>1</v>
      </c>
      <c r="BL53" s="3">
        <v>2</v>
      </c>
      <c r="BM53" s="3">
        <v>1</v>
      </c>
      <c r="BN53" s="3">
        <v>2</v>
      </c>
    </row>
    <row r="54" spans="1:66" x14ac:dyDescent="0.3">
      <c r="A54" s="2" t="str">
        <v>1</v>
      </c>
      <c r="B54" s="2">
        <v>3</v>
      </c>
      <c r="C54" s="2">
        <v>14007836</v>
      </c>
      <c r="D54" s="2" t="str">
        <v>SHROUD LOWER</v>
      </c>
      <c r="E54" s="3">
        <v>435</v>
      </c>
      <c r="F54" s="3">
        <v>100</v>
      </c>
      <c r="G54" s="3">
        <v>210</v>
      </c>
      <c r="H54" s="3">
        <v>48</v>
      </c>
      <c r="I54" s="3">
        <v>1</v>
      </c>
      <c r="J54" s="3">
        <v>48</v>
      </c>
      <c r="K54" s="3">
        <v>75</v>
      </c>
      <c r="L54" s="25" t="str">
        <v>Crate (600 x 400 x 220) mm</v>
      </c>
      <c r="M54" s="3">
        <v>560</v>
      </c>
      <c r="N54" s="3">
        <v>360</v>
      </c>
      <c r="O54" s="3">
        <v>205</v>
      </c>
      <c r="P54" s="3">
        <v>1</v>
      </c>
      <c r="Q54" s="3">
        <v>3</v>
      </c>
      <c r="R54" s="3">
        <v>0</v>
      </c>
      <c r="S54" s="3">
        <v>3</v>
      </c>
      <c r="T54" s="3">
        <v>0</v>
      </c>
      <c r="U54" s="3">
        <v>0</v>
      </c>
      <c r="V54" s="3">
        <v>360</v>
      </c>
      <c r="W54" s="3">
        <v>560</v>
      </c>
      <c r="X54" s="3">
        <v>205</v>
      </c>
      <c r="Y54" s="3">
        <v>0</v>
      </c>
      <c r="Z54" s="3">
        <v>5</v>
      </c>
      <c r="AA54" s="3">
        <v>0</v>
      </c>
      <c r="AB54" s="3">
        <v>0</v>
      </c>
      <c r="AC54" s="3">
        <v>0</v>
      </c>
      <c r="AD54" s="3">
        <v>0</v>
      </c>
      <c r="AE54" s="3">
        <v>205</v>
      </c>
      <c r="AF54" s="3">
        <v>560</v>
      </c>
      <c r="AG54" s="3">
        <v>360</v>
      </c>
      <c r="AH54" s="3">
        <v>0</v>
      </c>
      <c r="AI54" s="3">
        <v>5</v>
      </c>
      <c r="AJ54" s="3">
        <v>1</v>
      </c>
      <c r="AK54" s="3">
        <v>0</v>
      </c>
      <c r="AL54" s="3">
        <v>1</v>
      </c>
      <c r="AM54" s="3">
        <v>0</v>
      </c>
      <c r="AN54" s="3">
        <v>205</v>
      </c>
      <c r="AO54" s="3">
        <v>360</v>
      </c>
      <c r="AP54" s="3">
        <v>560</v>
      </c>
      <c r="AQ54" s="3">
        <v>0</v>
      </c>
      <c r="AR54" s="3">
        <v>3</v>
      </c>
      <c r="AS54" s="3">
        <v>2</v>
      </c>
      <c r="AT54" s="3">
        <v>0</v>
      </c>
      <c r="AU54" s="3">
        <v>2</v>
      </c>
      <c r="AV54" s="3">
        <v>0</v>
      </c>
      <c r="AW54" s="3">
        <v>360</v>
      </c>
      <c r="AX54" s="3">
        <v>205</v>
      </c>
      <c r="AY54" s="3">
        <v>560</v>
      </c>
      <c r="AZ54" s="3">
        <v>0</v>
      </c>
      <c r="BA54" s="3">
        <v>1</v>
      </c>
      <c r="BB54" s="3">
        <v>2</v>
      </c>
      <c r="BC54" s="3">
        <v>0</v>
      </c>
      <c r="BD54" s="3">
        <v>2</v>
      </c>
      <c r="BE54" s="3">
        <v>0</v>
      </c>
      <c r="BF54" s="3">
        <v>560</v>
      </c>
      <c r="BG54" s="3">
        <v>205</v>
      </c>
      <c r="BH54" s="3">
        <v>360</v>
      </c>
      <c r="BI54" s="3">
        <v>1</v>
      </c>
      <c r="BJ54" s="3">
        <v>1</v>
      </c>
      <c r="BK54" s="3">
        <v>1</v>
      </c>
      <c r="BL54" s="3">
        <v>1</v>
      </c>
      <c r="BM54" s="3">
        <v>1</v>
      </c>
      <c r="BN54" s="3">
        <v>1</v>
      </c>
    </row>
    <row r="55" spans="1:66" x14ac:dyDescent="0.3">
      <c r="A55" s="2" t="str">
        <v>1</v>
      </c>
      <c r="B55" s="2">
        <v>4</v>
      </c>
      <c r="C55" s="2">
        <v>14007837</v>
      </c>
      <c r="D55" s="2" t="str">
        <v>CLUSTER BEZEL LOWER ASSY</v>
      </c>
      <c r="E55" s="3">
        <v>365</v>
      </c>
      <c r="F55" s="3">
        <v>63</v>
      </c>
      <c r="G55" s="3">
        <v>225</v>
      </c>
      <c r="H55" s="3">
        <v>96</v>
      </c>
      <c r="I55" s="3">
        <v>1</v>
      </c>
      <c r="J55" s="3">
        <v>96</v>
      </c>
      <c r="K55" s="3">
        <v>38</v>
      </c>
      <c r="L55" s="25" t="str">
        <v>Crate (600 x 400 x 220) mm</v>
      </c>
      <c r="M55" s="3">
        <v>560</v>
      </c>
      <c r="N55" s="3">
        <v>360</v>
      </c>
      <c r="O55" s="3">
        <v>205</v>
      </c>
      <c r="P55" s="3">
        <v>1</v>
      </c>
      <c r="Q55" s="3">
        <v>5</v>
      </c>
      <c r="R55" s="3">
        <v>0</v>
      </c>
      <c r="S55" s="3">
        <v>5</v>
      </c>
      <c r="T55" s="3">
        <v>0</v>
      </c>
      <c r="U55" s="3">
        <v>0</v>
      </c>
      <c r="V55" s="3">
        <v>360</v>
      </c>
      <c r="W55" s="3">
        <v>560</v>
      </c>
      <c r="X55" s="3">
        <v>205</v>
      </c>
      <c r="Y55" s="3">
        <v>0</v>
      </c>
      <c r="Z55" s="3">
        <v>8</v>
      </c>
      <c r="AA55" s="3">
        <v>0</v>
      </c>
      <c r="AB55" s="3">
        <v>0</v>
      </c>
      <c r="AC55" s="3">
        <v>0</v>
      </c>
      <c r="AD55" s="3">
        <v>0</v>
      </c>
      <c r="AE55" s="3">
        <v>205</v>
      </c>
      <c r="AF55" s="3">
        <v>560</v>
      </c>
      <c r="AG55" s="3">
        <v>360</v>
      </c>
      <c r="AH55" s="3">
        <v>0</v>
      </c>
      <c r="AI55" s="3">
        <v>8</v>
      </c>
      <c r="AJ55" s="3">
        <v>1</v>
      </c>
      <c r="AK55" s="3">
        <v>0</v>
      </c>
      <c r="AL55" s="3">
        <v>1</v>
      </c>
      <c r="AM55" s="3">
        <v>0</v>
      </c>
      <c r="AN55" s="3">
        <v>205</v>
      </c>
      <c r="AO55" s="3">
        <v>360</v>
      </c>
      <c r="AP55" s="3">
        <v>560</v>
      </c>
      <c r="AQ55" s="3">
        <v>0</v>
      </c>
      <c r="AR55" s="3">
        <v>5</v>
      </c>
      <c r="AS55" s="3">
        <v>2</v>
      </c>
      <c r="AT55" s="3">
        <v>0</v>
      </c>
      <c r="AU55" s="3">
        <v>2</v>
      </c>
      <c r="AV55" s="3">
        <v>0</v>
      </c>
      <c r="AW55" s="3">
        <v>360</v>
      </c>
      <c r="AX55" s="3">
        <v>205</v>
      </c>
      <c r="AY55" s="3">
        <v>560</v>
      </c>
      <c r="AZ55" s="3">
        <v>0</v>
      </c>
      <c r="BA55" s="3">
        <v>3</v>
      </c>
      <c r="BB55" s="3">
        <v>2</v>
      </c>
      <c r="BC55" s="3">
        <v>0</v>
      </c>
      <c r="BD55" s="3">
        <v>2</v>
      </c>
      <c r="BE55" s="3">
        <v>0</v>
      </c>
      <c r="BF55" s="3">
        <v>560</v>
      </c>
      <c r="BG55" s="3">
        <v>205</v>
      </c>
      <c r="BH55" s="3">
        <v>360</v>
      </c>
      <c r="BI55" s="3">
        <v>1</v>
      </c>
      <c r="BJ55" s="3">
        <v>3</v>
      </c>
      <c r="BK55" s="3">
        <v>1</v>
      </c>
      <c r="BL55" s="3">
        <v>3</v>
      </c>
      <c r="BM55" s="3">
        <v>1</v>
      </c>
      <c r="BN55" s="3">
        <v>3</v>
      </c>
    </row>
    <row r="56" spans="1:66" x14ac:dyDescent="0.3">
      <c r="A56" s="2" t="str">
        <v>1</v>
      </c>
      <c r="B56" s="2">
        <v>5</v>
      </c>
      <c r="C56" s="2">
        <v>14007838</v>
      </c>
      <c r="D56" s="2" t="str">
        <v>DRIVER SIDE BOOSTER COVER ASSY</v>
      </c>
      <c r="E56" s="3">
        <v>410</v>
      </c>
      <c r="F56" s="3">
        <v>280</v>
      </c>
      <c r="G56" s="3">
        <v>160</v>
      </c>
      <c r="H56" s="3">
        <v>16</v>
      </c>
      <c r="I56" s="3">
        <v>1</v>
      </c>
      <c r="J56" s="3">
        <v>16</v>
      </c>
      <c r="K56" s="3">
        <v>202</v>
      </c>
      <c r="L56" s="25" t="str">
        <v>Crate (600 x 400 x 220) mm</v>
      </c>
      <c r="M56" s="3">
        <v>560</v>
      </c>
      <c r="N56" s="3">
        <v>360</v>
      </c>
      <c r="O56" s="3">
        <v>205</v>
      </c>
      <c r="P56" s="3">
        <v>1</v>
      </c>
      <c r="Q56" s="3">
        <v>1</v>
      </c>
      <c r="R56" s="3">
        <v>1</v>
      </c>
      <c r="S56" s="3">
        <v>1</v>
      </c>
      <c r="T56" s="3">
        <v>1</v>
      </c>
      <c r="U56" s="3">
        <v>1</v>
      </c>
      <c r="V56" s="3">
        <v>360</v>
      </c>
      <c r="W56" s="3">
        <v>560</v>
      </c>
      <c r="X56" s="3">
        <v>205</v>
      </c>
      <c r="Y56" s="3">
        <v>0</v>
      </c>
      <c r="Z56" s="3">
        <v>1</v>
      </c>
      <c r="AA56" s="3">
        <v>1</v>
      </c>
      <c r="AB56" s="3">
        <v>0</v>
      </c>
      <c r="AC56" s="3">
        <v>1</v>
      </c>
      <c r="AD56" s="3">
        <v>0</v>
      </c>
      <c r="AE56" s="3">
        <v>205</v>
      </c>
      <c r="AF56" s="3">
        <v>560</v>
      </c>
      <c r="AG56" s="3">
        <v>360</v>
      </c>
      <c r="AH56" s="3">
        <v>0</v>
      </c>
      <c r="AI56" s="3">
        <v>1</v>
      </c>
      <c r="AJ56" s="3">
        <v>2</v>
      </c>
      <c r="AK56" s="3">
        <v>0</v>
      </c>
      <c r="AL56" s="3">
        <v>2</v>
      </c>
      <c r="AM56" s="3">
        <v>0</v>
      </c>
      <c r="AN56" s="3">
        <v>205</v>
      </c>
      <c r="AO56" s="3">
        <v>360</v>
      </c>
      <c r="AP56" s="3">
        <v>560</v>
      </c>
      <c r="AQ56" s="3">
        <v>0</v>
      </c>
      <c r="AR56" s="3">
        <v>1</v>
      </c>
      <c r="AS56" s="3">
        <v>3</v>
      </c>
      <c r="AT56" s="3">
        <v>0</v>
      </c>
      <c r="AU56" s="3">
        <v>3</v>
      </c>
      <c r="AV56" s="3">
        <v>0</v>
      </c>
      <c r="AW56" s="3">
        <v>360</v>
      </c>
      <c r="AX56" s="3">
        <v>205</v>
      </c>
      <c r="AY56" s="3">
        <v>560</v>
      </c>
      <c r="AZ56" s="3">
        <v>0</v>
      </c>
      <c r="BA56" s="3">
        <v>0</v>
      </c>
      <c r="BB56" s="3">
        <v>3</v>
      </c>
      <c r="BC56" s="3">
        <v>0</v>
      </c>
      <c r="BD56" s="3">
        <v>3</v>
      </c>
      <c r="BE56" s="3">
        <v>0</v>
      </c>
      <c r="BF56" s="3">
        <v>560</v>
      </c>
      <c r="BG56" s="3">
        <v>205</v>
      </c>
      <c r="BH56" s="3">
        <v>360</v>
      </c>
      <c r="BI56" s="3">
        <v>1</v>
      </c>
      <c r="BJ56" s="3">
        <v>0</v>
      </c>
      <c r="BK56" s="3">
        <v>2</v>
      </c>
      <c r="BL56" s="3">
        <v>0</v>
      </c>
      <c r="BM56" s="3">
        <v>2</v>
      </c>
      <c r="BN56" s="3">
        <v>0</v>
      </c>
    </row>
    <row r="57" spans="1:66" x14ac:dyDescent="0.3">
      <c r="A57" s="2" t="str">
        <v>1</v>
      </c>
      <c r="B57" s="2">
        <v>6</v>
      </c>
      <c r="C57" s="2">
        <v>14007839</v>
      </c>
      <c r="D57" s="2" t="str">
        <v>PASSENGER SIDE KNEE COVER RHD ASSY</v>
      </c>
      <c r="E57" s="3">
        <v>380</v>
      </c>
      <c r="F57" s="3">
        <v>110</v>
      </c>
      <c r="G57" s="3">
        <v>295</v>
      </c>
      <c r="H57" s="3">
        <v>64</v>
      </c>
      <c r="I57" s="3">
        <v>1</v>
      </c>
      <c r="J57" s="3">
        <v>64</v>
      </c>
      <c r="K57" s="3">
        <v>50</v>
      </c>
      <c r="L57" s="25" t="str">
        <v>Crate (600 x 400 x 220) mm</v>
      </c>
      <c r="M57" s="3">
        <v>560</v>
      </c>
      <c r="N57" s="3">
        <v>360</v>
      </c>
      <c r="O57" s="3">
        <v>205</v>
      </c>
      <c r="P57" s="3">
        <v>1</v>
      </c>
      <c r="Q57" s="3">
        <v>3</v>
      </c>
      <c r="R57" s="3">
        <v>0</v>
      </c>
      <c r="S57" s="3">
        <v>3</v>
      </c>
      <c r="T57" s="3">
        <v>0</v>
      </c>
      <c r="U57" s="3">
        <v>0</v>
      </c>
      <c r="V57" s="3">
        <v>360</v>
      </c>
      <c r="W57" s="3">
        <v>560</v>
      </c>
      <c r="X57" s="3">
        <v>205</v>
      </c>
      <c r="Y57" s="3">
        <v>0</v>
      </c>
      <c r="Z57" s="3">
        <v>4</v>
      </c>
      <c r="AA57" s="3">
        <v>0</v>
      </c>
      <c r="AB57" s="3">
        <v>0</v>
      </c>
      <c r="AC57" s="3">
        <v>0</v>
      </c>
      <c r="AD57" s="3">
        <v>0</v>
      </c>
      <c r="AE57" s="3">
        <v>205</v>
      </c>
      <c r="AF57" s="3">
        <v>560</v>
      </c>
      <c r="AG57" s="3">
        <v>360</v>
      </c>
      <c r="AH57" s="3">
        <v>0</v>
      </c>
      <c r="AI57" s="3">
        <v>4</v>
      </c>
      <c r="AJ57" s="3">
        <v>1</v>
      </c>
      <c r="AK57" s="3">
        <v>0</v>
      </c>
      <c r="AL57" s="3">
        <v>1</v>
      </c>
      <c r="AM57" s="3">
        <v>0</v>
      </c>
      <c r="AN57" s="3">
        <v>205</v>
      </c>
      <c r="AO57" s="3">
        <v>360</v>
      </c>
      <c r="AP57" s="3">
        <v>560</v>
      </c>
      <c r="AQ57" s="3">
        <v>0</v>
      </c>
      <c r="AR57" s="3">
        <v>3</v>
      </c>
      <c r="AS57" s="3">
        <v>1</v>
      </c>
      <c r="AT57" s="3">
        <v>0</v>
      </c>
      <c r="AU57" s="3">
        <v>1</v>
      </c>
      <c r="AV57" s="3">
        <v>0</v>
      </c>
      <c r="AW57" s="3">
        <v>360</v>
      </c>
      <c r="AX57" s="3">
        <v>205</v>
      </c>
      <c r="AY57" s="3">
        <v>560</v>
      </c>
      <c r="AZ57" s="3">
        <v>0</v>
      </c>
      <c r="BA57" s="3">
        <v>1</v>
      </c>
      <c r="BB57" s="3">
        <v>1</v>
      </c>
      <c r="BC57" s="3">
        <v>0</v>
      </c>
      <c r="BD57" s="3">
        <v>1</v>
      </c>
      <c r="BE57" s="3">
        <v>0</v>
      </c>
      <c r="BF57" s="3">
        <v>560</v>
      </c>
      <c r="BG57" s="3">
        <v>205</v>
      </c>
      <c r="BH57" s="3">
        <v>360</v>
      </c>
      <c r="BI57" s="3">
        <v>1</v>
      </c>
      <c r="BJ57" s="3">
        <v>1</v>
      </c>
      <c r="BK57" s="3">
        <v>1</v>
      </c>
      <c r="BL57" s="3">
        <v>1</v>
      </c>
      <c r="BM57" s="3">
        <v>1</v>
      </c>
      <c r="BN57" s="3">
        <v>1</v>
      </c>
    </row>
    <row r="58" spans="1:66" x14ac:dyDescent="0.3">
      <c r="A58" s="2" t="str">
        <v>1</v>
      </c>
      <c r="B58" s="2">
        <v>7</v>
      </c>
      <c r="C58" s="2">
        <v>14007840</v>
      </c>
      <c r="D58" s="2" t="str">
        <v>END CAP LH ASSY</v>
      </c>
      <c r="E58" s="3">
        <v>130</v>
      </c>
      <c r="F58" s="3">
        <v>50</v>
      </c>
      <c r="G58" s="3">
        <v>385</v>
      </c>
      <c r="H58" s="3">
        <v>192</v>
      </c>
      <c r="I58" s="3">
        <v>1</v>
      </c>
      <c r="J58" s="3">
        <v>192</v>
      </c>
      <c r="K58" s="3">
        <v>18</v>
      </c>
      <c r="L58" s="25" t="str">
        <v>Crate (600 x 400 x 220) mm</v>
      </c>
      <c r="M58" s="3">
        <v>560</v>
      </c>
      <c r="N58" s="3">
        <v>360</v>
      </c>
      <c r="O58" s="3">
        <v>205</v>
      </c>
      <c r="P58" s="3">
        <v>4</v>
      </c>
      <c r="Q58" s="3">
        <v>6</v>
      </c>
      <c r="R58" s="3">
        <v>0</v>
      </c>
      <c r="S58" s="3">
        <v>24</v>
      </c>
      <c r="T58" s="3">
        <v>0</v>
      </c>
      <c r="U58" s="3">
        <v>0</v>
      </c>
      <c r="V58" s="3">
        <v>360</v>
      </c>
      <c r="W58" s="3">
        <v>560</v>
      </c>
      <c r="X58" s="3">
        <v>205</v>
      </c>
      <c r="Y58" s="3">
        <v>2</v>
      </c>
      <c r="Z58" s="3">
        <v>10</v>
      </c>
      <c r="AA58" s="3">
        <v>0</v>
      </c>
      <c r="AB58" s="3">
        <v>20</v>
      </c>
      <c r="AC58" s="3">
        <v>0</v>
      </c>
      <c r="AD58" s="3">
        <v>0</v>
      </c>
      <c r="AE58" s="3">
        <v>205</v>
      </c>
      <c r="AF58" s="3">
        <v>560</v>
      </c>
      <c r="AG58" s="3">
        <v>360</v>
      </c>
      <c r="AH58" s="3">
        <v>1</v>
      </c>
      <c r="AI58" s="3">
        <v>10</v>
      </c>
      <c r="AJ58" s="3">
        <v>0</v>
      </c>
      <c r="AK58" s="3">
        <v>10</v>
      </c>
      <c r="AL58" s="3">
        <v>0</v>
      </c>
      <c r="AM58" s="3">
        <v>0</v>
      </c>
      <c r="AN58" s="3">
        <v>205</v>
      </c>
      <c r="AO58" s="3">
        <v>360</v>
      </c>
      <c r="AP58" s="3">
        <v>560</v>
      </c>
      <c r="AQ58" s="3">
        <v>1</v>
      </c>
      <c r="AR58" s="3">
        <v>6</v>
      </c>
      <c r="AS58" s="3">
        <v>1</v>
      </c>
      <c r="AT58" s="3">
        <v>6</v>
      </c>
      <c r="AU58" s="3">
        <v>1</v>
      </c>
      <c r="AV58" s="3">
        <v>6</v>
      </c>
      <c r="AW58" s="3">
        <v>360</v>
      </c>
      <c r="AX58" s="3">
        <v>205</v>
      </c>
      <c r="AY58" s="3">
        <v>560</v>
      </c>
      <c r="AZ58" s="3">
        <v>2</v>
      </c>
      <c r="BA58" s="3">
        <v>3</v>
      </c>
      <c r="BB58" s="3">
        <v>1</v>
      </c>
      <c r="BC58" s="3">
        <v>6</v>
      </c>
      <c r="BD58" s="3">
        <v>1</v>
      </c>
      <c r="BE58" s="3">
        <v>6</v>
      </c>
      <c r="BF58" s="3">
        <v>560</v>
      </c>
      <c r="BG58" s="3">
        <v>205</v>
      </c>
      <c r="BH58" s="3">
        <v>360</v>
      </c>
      <c r="BI58" s="3">
        <v>4</v>
      </c>
      <c r="BJ58" s="3">
        <v>3</v>
      </c>
      <c r="BK58" s="3">
        <v>0</v>
      </c>
      <c r="BL58" s="3">
        <v>12</v>
      </c>
      <c r="BM58" s="3">
        <v>0</v>
      </c>
      <c r="BN58" s="3">
        <v>0</v>
      </c>
    </row>
    <row r="59" spans="1:66" x14ac:dyDescent="0.3">
      <c r="A59" s="2" t="str">
        <v>1</v>
      </c>
      <c r="B59" s="2">
        <v>8</v>
      </c>
      <c r="C59" s="2">
        <v>14007841</v>
      </c>
      <c r="D59" s="2" t="str">
        <v>END CAP RH ASSY</v>
      </c>
      <c r="E59" s="3">
        <v>130</v>
      </c>
      <c r="F59" s="3">
        <v>50</v>
      </c>
      <c r="G59" s="3">
        <v>385</v>
      </c>
      <c r="H59" s="3">
        <v>192</v>
      </c>
      <c r="I59" s="3">
        <v>1</v>
      </c>
      <c r="J59" s="3">
        <v>192</v>
      </c>
      <c r="K59" s="3">
        <v>18</v>
      </c>
      <c r="L59" s="25" t="str">
        <v>Crate (600 x 400 x 220) mm</v>
      </c>
      <c r="M59" s="3">
        <v>560</v>
      </c>
      <c r="N59" s="3">
        <v>360</v>
      </c>
      <c r="O59" s="3">
        <v>205</v>
      </c>
      <c r="P59" s="3">
        <v>4</v>
      </c>
      <c r="Q59" s="3">
        <v>6</v>
      </c>
      <c r="R59" s="3">
        <v>0</v>
      </c>
      <c r="S59" s="3">
        <v>24</v>
      </c>
      <c r="T59" s="3">
        <v>0</v>
      </c>
      <c r="U59" s="3">
        <v>0</v>
      </c>
      <c r="V59" s="3">
        <v>360</v>
      </c>
      <c r="W59" s="3">
        <v>560</v>
      </c>
      <c r="X59" s="3">
        <v>205</v>
      </c>
      <c r="Y59" s="3">
        <v>2</v>
      </c>
      <c r="Z59" s="3">
        <v>10</v>
      </c>
      <c r="AA59" s="3">
        <v>0</v>
      </c>
      <c r="AB59" s="3">
        <v>20</v>
      </c>
      <c r="AC59" s="3">
        <v>0</v>
      </c>
      <c r="AD59" s="3">
        <v>0</v>
      </c>
      <c r="AE59" s="3">
        <v>205</v>
      </c>
      <c r="AF59" s="3">
        <v>560</v>
      </c>
      <c r="AG59" s="3">
        <v>360</v>
      </c>
      <c r="AH59" s="3">
        <v>1</v>
      </c>
      <c r="AI59" s="3">
        <v>10</v>
      </c>
      <c r="AJ59" s="3">
        <v>0</v>
      </c>
      <c r="AK59" s="3">
        <v>10</v>
      </c>
      <c r="AL59" s="3">
        <v>0</v>
      </c>
      <c r="AM59" s="3">
        <v>0</v>
      </c>
      <c r="AN59" s="3">
        <v>205</v>
      </c>
      <c r="AO59" s="3">
        <v>360</v>
      </c>
      <c r="AP59" s="3">
        <v>560</v>
      </c>
      <c r="AQ59" s="3">
        <v>1</v>
      </c>
      <c r="AR59" s="3">
        <v>6</v>
      </c>
      <c r="AS59" s="3">
        <v>1</v>
      </c>
      <c r="AT59" s="3">
        <v>6</v>
      </c>
      <c r="AU59" s="3">
        <v>1</v>
      </c>
      <c r="AV59" s="3">
        <v>6</v>
      </c>
      <c r="AW59" s="3">
        <v>360</v>
      </c>
      <c r="AX59" s="3">
        <v>205</v>
      </c>
      <c r="AY59" s="3">
        <v>560</v>
      </c>
      <c r="AZ59" s="3">
        <v>2</v>
      </c>
      <c r="BA59" s="3">
        <v>3</v>
      </c>
      <c r="BB59" s="3">
        <v>1</v>
      </c>
      <c r="BC59" s="3">
        <v>6</v>
      </c>
      <c r="BD59" s="3">
        <v>1</v>
      </c>
      <c r="BE59" s="3">
        <v>6</v>
      </c>
      <c r="BF59" s="3">
        <v>560</v>
      </c>
      <c r="BG59" s="3">
        <v>205</v>
      </c>
      <c r="BH59" s="3">
        <v>360</v>
      </c>
      <c r="BI59" s="3">
        <v>4</v>
      </c>
      <c r="BJ59" s="3">
        <v>3</v>
      </c>
      <c r="BK59" s="3">
        <v>0</v>
      </c>
      <c r="BL59" s="3">
        <v>12</v>
      </c>
      <c r="BM59" s="3">
        <v>0</v>
      </c>
      <c r="BN59" s="3">
        <v>0</v>
      </c>
    </row>
    <row r="60" spans="1:66" x14ac:dyDescent="0.3">
      <c r="A60" s="2" t="str">
        <v>1</v>
      </c>
      <c r="B60" s="2">
        <v>9</v>
      </c>
      <c r="C60" s="2">
        <v>14007842</v>
      </c>
      <c r="D60" s="2" t="str">
        <v>DRIVER SIDE KNEE COVER RHD ASSY</v>
      </c>
      <c r="E60" s="3">
        <v>170</v>
      </c>
      <c r="F60" s="3">
        <v>70</v>
      </c>
      <c r="G60" s="3">
        <v>265</v>
      </c>
      <c r="H60" s="3">
        <v>80</v>
      </c>
      <c r="I60" s="3">
        <v>1</v>
      </c>
      <c r="J60" s="3">
        <v>80</v>
      </c>
      <c r="K60" s="3">
        <v>40</v>
      </c>
      <c r="L60" s="25" t="str">
        <v>Crate (600 x 400 x 220) mm</v>
      </c>
      <c r="M60" s="3">
        <v>560</v>
      </c>
      <c r="N60" s="3">
        <v>360</v>
      </c>
      <c r="O60" s="3">
        <v>205</v>
      </c>
      <c r="P60" s="3">
        <v>3</v>
      </c>
      <c r="Q60" s="3">
        <v>4</v>
      </c>
      <c r="R60" s="3">
        <v>0</v>
      </c>
      <c r="S60" s="3">
        <v>12</v>
      </c>
      <c r="T60" s="3">
        <v>0</v>
      </c>
      <c r="U60" s="3">
        <v>0</v>
      </c>
      <c r="V60" s="3">
        <v>360</v>
      </c>
      <c r="W60" s="3">
        <v>560</v>
      </c>
      <c r="X60" s="3">
        <v>205</v>
      </c>
      <c r="Y60" s="3">
        <v>2</v>
      </c>
      <c r="Z60" s="3">
        <v>7</v>
      </c>
      <c r="AA60" s="3">
        <v>0</v>
      </c>
      <c r="AB60" s="3">
        <v>14</v>
      </c>
      <c r="AC60" s="3">
        <v>0</v>
      </c>
      <c r="AD60" s="3">
        <v>0</v>
      </c>
      <c r="AE60" s="3">
        <v>205</v>
      </c>
      <c r="AF60" s="3">
        <v>560</v>
      </c>
      <c r="AG60" s="3">
        <v>360</v>
      </c>
      <c r="AH60" s="3">
        <v>1</v>
      </c>
      <c r="AI60" s="3">
        <v>7</v>
      </c>
      <c r="AJ60" s="3">
        <v>1</v>
      </c>
      <c r="AK60" s="3">
        <v>7</v>
      </c>
      <c r="AL60" s="3">
        <v>1</v>
      </c>
      <c r="AM60" s="3">
        <v>7</v>
      </c>
      <c r="AN60" s="3">
        <v>205</v>
      </c>
      <c r="AO60" s="3">
        <v>360</v>
      </c>
      <c r="AP60" s="3">
        <v>560</v>
      </c>
      <c r="AQ60" s="3">
        <v>1</v>
      </c>
      <c r="AR60" s="3">
        <v>4</v>
      </c>
      <c r="AS60" s="3">
        <v>2</v>
      </c>
      <c r="AT60" s="3">
        <v>4</v>
      </c>
      <c r="AU60" s="3">
        <v>2</v>
      </c>
      <c r="AV60" s="3">
        <v>8</v>
      </c>
      <c r="AW60" s="3">
        <v>360</v>
      </c>
      <c r="AX60" s="3">
        <v>205</v>
      </c>
      <c r="AY60" s="3">
        <v>560</v>
      </c>
      <c r="AZ60" s="3">
        <v>2</v>
      </c>
      <c r="BA60" s="3">
        <v>2</v>
      </c>
      <c r="BB60" s="3">
        <v>2</v>
      </c>
      <c r="BC60" s="3">
        <v>4</v>
      </c>
      <c r="BD60" s="3">
        <v>2</v>
      </c>
      <c r="BE60" s="3">
        <v>8</v>
      </c>
      <c r="BF60" s="3">
        <v>560</v>
      </c>
      <c r="BG60" s="3">
        <v>205</v>
      </c>
      <c r="BH60" s="3">
        <v>360</v>
      </c>
      <c r="BI60" s="3">
        <v>3</v>
      </c>
      <c r="BJ60" s="3">
        <v>2</v>
      </c>
      <c r="BK60" s="3">
        <v>1</v>
      </c>
      <c r="BL60" s="3">
        <v>6</v>
      </c>
      <c r="BM60" s="3">
        <v>1</v>
      </c>
      <c r="BN60" s="3">
        <v>6</v>
      </c>
    </row>
    <row r="61" spans="1:66" x14ac:dyDescent="0.3">
      <c r="A61" s="2" t="str">
        <v>1</v>
      </c>
      <c r="B61" s="2">
        <v>10</v>
      </c>
      <c r="C61" s="2">
        <v>14007843</v>
      </c>
      <c r="D61" s="2" t="str">
        <v>DIN_BIN</v>
      </c>
      <c r="E61" s="3">
        <v>225</v>
      </c>
      <c r="F61" s="3">
        <v>70</v>
      </c>
      <c r="G61" s="3">
        <v>310</v>
      </c>
      <c r="H61" s="3">
        <v>192</v>
      </c>
      <c r="I61" s="3">
        <v>3</v>
      </c>
      <c r="J61" s="3">
        <v>576</v>
      </c>
      <c r="K61" s="3">
        <v>6</v>
      </c>
      <c r="L61" s="25" t="str">
        <v>Crate (600 x 400 x 220) mm</v>
      </c>
      <c r="M61" s="3">
        <v>560</v>
      </c>
      <c r="N61" s="3">
        <v>360</v>
      </c>
      <c r="O61" s="3">
        <v>205</v>
      </c>
      <c r="P61" s="3">
        <v>2</v>
      </c>
      <c r="Q61" s="3">
        <v>4</v>
      </c>
      <c r="R61" s="3">
        <v>0</v>
      </c>
      <c r="S61" s="3">
        <v>8</v>
      </c>
      <c r="T61" s="3">
        <v>0</v>
      </c>
      <c r="U61" s="3">
        <v>0</v>
      </c>
      <c r="V61" s="3">
        <v>360</v>
      </c>
      <c r="W61" s="3">
        <v>560</v>
      </c>
      <c r="X61" s="3">
        <v>205</v>
      </c>
      <c r="Y61" s="3">
        <v>1</v>
      </c>
      <c r="Z61" s="3">
        <v>7</v>
      </c>
      <c r="AA61" s="3">
        <v>0</v>
      </c>
      <c r="AB61" s="3">
        <v>7</v>
      </c>
      <c r="AC61" s="3">
        <v>0</v>
      </c>
      <c r="AD61" s="3">
        <v>0</v>
      </c>
      <c r="AE61" s="3">
        <v>205</v>
      </c>
      <c r="AF61" s="3">
        <v>560</v>
      </c>
      <c r="AG61" s="3">
        <v>360</v>
      </c>
      <c r="AH61" s="3">
        <v>0</v>
      </c>
      <c r="AI61" s="3">
        <v>7</v>
      </c>
      <c r="AJ61" s="3">
        <v>1</v>
      </c>
      <c r="AK61" s="3">
        <v>0</v>
      </c>
      <c r="AL61" s="3">
        <v>1</v>
      </c>
      <c r="AM61" s="3">
        <v>0</v>
      </c>
      <c r="AN61" s="3">
        <v>205</v>
      </c>
      <c r="AO61" s="3">
        <v>360</v>
      </c>
      <c r="AP61" s="3">
        <v>560</v>
      </c>
      <c r="AQ61" s="3">
        <v>0</v>
      </c>
      <c r="AR61" s="3">
        <v>4</v>
      </c>
      <c r="AS61" s="3">
        <v>1</v>
      </c>
      <c r="AT61" s="3">
        <v>0</v>
      </c>
      <c r="AU61" s="3">
        <v>1</v>
      </c>
      <c r="AV61" s="3">
        <v>0</v>
      </c>
      <c r="AW61" s="3">
        <v>360</v>
      </c>
      <c r="AX61" s="3">
        <v>205</v>
      </c>
      <c r="AY61" s="3">
        <v>560</v>
      </c>
      <c r="AZ61" s="3">
        <v>1</v>
      </c>
      <c r="BA61" s="3">
        <v>2</v>
      </c>
      <c r="BB61" s="3">
        <v>1</v>
      </c>
      <c r="BC61" s="3">
        <v>2</v>
      </c>
      <c r="BD61" s="3">
        <v>1</v>
      </c>
      <c r="BE61" s="3">
        <v>2</v>
      </c>
      <c r="BF61" s="3">
        <v>560</v>
      </c>
      <c r="BG61" s="3">
        <v>205</v>
      </c>
      <c r="BH61" s="3">
        <v>360</v>
      </c>
      <c r="BI61" s="3">
        <v>2</v>
      </c>
      <c r="BJ61" s="3">
        <v>2</v>
      </c>
      <c r="BK61" s="3">
        <v>1</v>
      </c>
      <c r="BL61" s="3">
        <v>4</v>
      </c>
      <c r="BM61" s="3">
        <v>1</v>
      </c>
      <c r="BN61" s="3">
        <v>4</v>
      </c>
    </row>
    <row r="62" spans="1:66" x14ac:dyDescent="0.3">
      <c r="A62" s="2" t="str">
        <v>1</v>
      </c>
      <c r="B62" s="2">
        <v>1</v>
      </c>
      <c r="C62" s="2">
        <v>14007834</v>
      </c>
      <c r="D62" s="2" t="str">
        <v>2.0_M_CENTER BEZEL PREMIUM ASSY</v>
      </c>
      <c r="E62" s="3">
        <v>274</v>
      </c>
      <c r="F62" s="3">
        <v>76</v>
      </c>
      <c r="G62" s="3">
        <v>620</v>
      </c>
      <c r="H62" s="3">
        <v>44</v>
      </c>
      <c r="I62" s="3">
        <v>1</v>
      </c>
      <c r="J62" s="3">
        <v>44</v>
      </c>
      <c r="K62" s="3">
        <v>80</v>
      </c>
      <c r="L62" s="25" t="str">
        <v>Crate (400 x 300 x 120) mm</v>
      </c>
      <c r="M62" s="3">
        <v>360</v>
      </c>
      <c r="N62" s="3">
        <v>260</v>
      </c>
      <c r="O62" s="3">
        <v>105</v>
      </c>
      <c r="P62" s="3">
        <v>1</v>
      </c>
      <c r="Q62" s="3">
        <v>3</v>
      </c>
      <c r="R62" s="3">
        <v>0</v>
      </c>
      <c r="S62" s="3">
        <v>3</v>
      </c>
      <c r="T62" s="3">
        <v>0</v>
      </c>
      <c r="U62" s="3">
        <v>0</v>
      </c>
      <c r="V62" s="3">
        <v>260</v>
      </c>
      <c r="W62" s="3">
        <v>360</v>
      </c>
      <c r="X62" s="3">
        <v>105</v>
      </c>
      <c r="Y62" s="3">
        <v>0</v>
      </c>
      <c r="Z62" s="3">
        <v>4</v>
      </c>
      <c r="AA62" s="3">
        <v>0</v>
      </c>
      <c r="AB62" s="3">
        <v>0</v>
      </c>
      <c r="AC62" s="3">
        <v>0</v>
      </c>
      <c r="AD62" s="3">
        <v>0</v>
      </c>
      <c r="AE62" s="3">
        <v>105</v>
      </c>
      <c r="AF62" s="3">
        <v>360</v>
      </c>
      <c r="AG62" s="3">
        <v>260</v>
      </c>
      <c r="AH62" s="3">
        <v>0</v>
      </c>
      <c r="AI62" s="3">
        <v>4</v>
      </c>
      <c r="AJ62" s="3">
        <v>0</v>
      </c>
      <c r="AK62" s="3">
        <v>0</v>
      </c>
      <c r="AL62" s="3">
        <v>0</v>
      </c>
      <c r="AM62" s="3">
        <v>0</v>
      </c>
      <c r="AN62" s="3">
        <v>105</v>
      </c>
      <c r="AO62" s="3">
        <v>260</v>
      </c>
      <c r="AP62" s="3">
        <v>360</v>
      </c>
      <c r="AQ62" s="3">
        <v>0</v>
      </c>
      <c r="AR62" s="3">
        <v>3</v>
      </c>
      <c r="AS62" s="3">
        <v>0</v>
      </c>
      <c r="AT62" s="3">
        <v>0</v>
      </c>
      <c r="AU62" s="3">
        <v>0</v>
      </c>
      <c r="AV62" s="3">
        <v>0</v>
      </c>
      <c r="AW62" s="3">
        <v>260</v>
      </c>
      <c r="AX62" s="3">
        <v>105</v>
      </c>
      <c r="AY62" s="3">
        <v>360</v>
      </c>
      <c r="AZ62" s="3">
        <v>0</v>
      </c>
      <c r="BA62" s="3">
        <v>1</v>
      </c>
      <c r="BB62" s="3">
        <v>0</v>
      </c>
      <c r="BC62" s="3">
        <v>0</v>
      </c>
      <c r="BD62" s="3">
        <v>0</v>
      </c>
      <c r="BE62" s="3">
        <v>0</v>
      </c>
      <c r="BF62" s="3">
        <v>360</v>
      </c>
      <c r="BG62" s="3">
        <v>105</v>
      </c>
      <c r="BH62" s="3">
        <v>260</v>
      </c>
      <c r="BI62" s="3">
        <v>1</v>
      </c>
      <c r="BJ62" s="3">
        <v>1</v>
      </c>
      <c r="BK62" s="3">
        <v>0</v>
      </c>
      <c r="BL62" s="3">
        <v>1</v>
      </c>
      <c r="BM62" s="3">
        <v>0</v>
      </c>
      <c r="BN62" s="3">
        <v>0</v>
      </c>
    </row>
    <row r="63" spans="1:66" x14ac:dyDescent="0.3">
      <c r="A63" s="2" t="str">
        <v>1</v>
      </c>
      <c r="B63" s="2">
        <v>2</v>
      </c>
      <c r="C63" s="2">
        <v>14007835</v>
      </c>
      <c r="D63" s="2" t="str">
        <v>SHROUD UPPER</v>
      </c>
      <c r="E63" s="3">
        <v>225</v>
      </c>
      <c r="F63" s="3">
        <v>125</v>
      </c>
      <c r="G63" s="3">
        <v>190</v>
      </c>
      <c r="H63" s="3">
        <v>96</v>
      </c>
      <c r="I63" s="3">
        <v>2</v>
      </c>
      <c r="J63" s="3">
        <v>192</v>
      </c>
      <c r="K63" s="3">
        <v>18</v>
      </c>
      <c r="L63" s="25" t="str">
        <v>Crate (400 x 300 x 120) mm</v>
      </c>
      <c r="M63" s="3">
        <v>360</v>
      </c>
      <c r="N63" s="3">
        <v>260</v>
      </c>
      <c r="O63" s="3">
        <v>105</v>
      </c>
      <c r="P63" s="3">
        <v>1</v>
      </c>
      <c r="Q63" s="3">
        <v>2</v>
      </c>
      <c r="R63" s="3">
        <v>0</v>
      </c>
      <c r="S63" s="3">
        <v>2</v>
      </c>
      <c r="T63" s="3">
        <v>0</v>
      </c>
      <c r="U63" s="3">
        <v>0</v>
      </c>
      <c r="V63" s="3">
        <v>260</v>
      </c>
      <c r="W63" s="3">
        <v>360</v>
      </c>
      <c r="X63" s="3">
        <v>105</v>
      </c>
      <c r="Y63" s="3">
        <v>1</v>
      </c>
      <c r="Z63" s="3">
        <v>2</v>
      </c>
      <c r="AA63" s="3">
        <v>0</v>
      </c>
      <c r="AB63" s="3">
        <v>2</v>
      </c>
      <c r="AC63" s="3">
        <v>0</v>
      </c>
      <c r="AD63" s="3">
        <v>0</v>
      </c>
      <c r="AE63" s="3">
        <v>105</v>
      </c>
      <c r="AF63" s="3">
        <v>360</v>
      </c>
      <c r="AG63" s="3">
        <v>260</v>
      </c>
      <c r="AH63" s="3">
        <v>0</v>
      </c>
      <c r="AI63" s="3">
        <v>2</v>
      </c>
      <c r="AJ63" s="3">
        <v>1</v>
      </c>
      <c r="AK63" s="3">
        <v>0</v>
      </c>
      <c r="AL63" s="3">
        <v>1</v>
      </c>
      <c r="AM63" s="3">
        <v>0</v>
      </c>
      <c r="AN63" s="3">
        <v>105</v>
      </c>
      <c r="AO63" s="3">
        <v>260</v>
      </c>
      <c r="AP63" s="3">
        <v>360</v>
      </c>
      <c r="AQ63" s="3">
        <v>0</v>
      </c>
      <c r="AR63" s="3">
        <v>2</v>
      </c>
      <c r="AS63" s="3">
        <v>1</v>
      </c>
      <c r="AT63" s="3">
        <v>0</v>
      </c>
      <c r="AU63" s="3">
        <v>1</v>
      </c>
      <c r="AV63" s="3">
        <v>0</v>
      </c>
      <c r="AW63" s="3">
        <v>260</v>
      </c>
      <c r="AX63" s="3">
        <v>105</v>
      </c>
      <c r="AY63" s="3">
        <v>360</v>
      </c>
      <c r="AZ63" s="3">
        <v>1</v>
      </c>
      <c r="BA63" s="3">
        <v>0</v>
      </c>
      <c r="BB63" s="3">
        <v>1</v>
      </c>
      <c r="BC63" s="3">
        <v>0</v>
      </c>
      <c r="BD63" s="3">
        <v>1</v>
      </c>
      <c r="BE63" s="3">
        <v>0</v>
      </c>
      <c r="BF63" s="3">
        <v>360</v>
      </c>
      <c r="BG63" s="3">
        <v>105</v>
      </c>
      <c r="BH63" s="3">
        <v>260</v>
      </c>
      <c r="BI63" s="3">
        <v>1</v>
      </c>
      <c r="BJ63" s="3">
        <v>0</v>
      </c>
      <c r="BK63" s="3">
        <v>1</v>
      </c>
      <c r="BL63" s="3">
        <v>0</v>
      </c>
      <c r="BM63" s="3">
        <v>1</v>
      </c>
      <c r="BN63" s="3">
        <v>0</v>
      </c>
    </row>
    <row r="64" spans="1:66" x14ac:dyDescent="0.3">
      <c r="A64" s="2" t="str">
        <v>1</v>
      </c>
      <c r="B64" s="2">
        <v>3</v>
      </c>
      <c r="C64" s="2">
        <v>14007836</v>
      </c>
      <c r="D64" s="2" t="str">
        <v>SHROUD LOWER</v>
      </c>
      <c r="E64" s="3">
        <v>435</v>
      </c>
      <c r="F64" s="3">
        <v>100</v>
      </c>
      <c r="G64" s="3">
        <v>210</v>
      </c>
      <c r="H64" s="3">
        <v>48</v>
      </c>
      <c r="I64" s="3">
        <v>1</v>
      </c>
      <c r="J64" s="3">
        <v>48</v>
      </c>
      <c r="K64" s="3">
        <v>75</v>
      </c>
      <c r="L64" s="25" t="str">
        <v>Crate (400 x 300 x 120) mm</v>
      </c>
      <c r="M64" s="3">
        <v>360</v>
      </c>
      <c r="N64" s="3">
        <v>260</v>
      </c>
      <c r="O64" s="3">
        <v>105</v>
      </c>
      <c r="P64" s="3">
        <v>0</v>
      </c>
      <c r="Q64" s="3">
        <v>2</v>
      </c>
      <c r="R64" s="3">
        <v>0</v>
      </c>
      <c r="S64" s="3">
        <v>0</v>
      </c>
      <c r="T64" s="3">
        <v>0</v>
      </c>
      <c r="U64" s="3">
        <v>0</v>
      </c>
      <c r="V64" s="3">
        <v>260</v>
      </c>
      <c r="W64" s="3">
        <v>360</v>
      </c>
      <c r="X64" s="3">
        <v>105</v>
      </c>
      <c r="Y64" s="3">
        <v>0</v>
      </c>
      <c r="Z64" s="3">
        <v>3</v>
      </c>
      <c r="AA64" s="3">
        <v>0</v>
      </c>
      <c r="AB64" s="3">
        <v>0</v>
      </c>
      <c r="AC64" s="3">
        <v>0</v>
      </c>
      <c r="AD64" s="3">
        <v>0</v>
      </c>
      <c r="AE64" s="3">
        <v>105</v>
      </c>
      <c r="AF64" s="3">
        <v>360</v>
      </c>
      <c r="AG64" s="3">
        <v>260</v>
      </c>
      <c r="AH64" s="3">
        <v>0</v>
      </c>
      <c r="AI64" s="3">
        <v>3</v>
      </c>
      <c r="AJ64" s="3">
        <v>1</v>
      </c>
      <c r="AK64" s="3">
        <v>0</v>
      </c>
      <c r="AL64" s="3">
        <v>1</v>
      </c>
      <c r="AM64" s="3">
        <v>0</v>
      </c>
      <c r="AN64" s="3">
        <v>105</v>
      </c>
      <c r="AO64" s="3">
        <v>260</v>
      </c>
      <c r="AP64" s="3">
        <v>360</v>
      </c>
      <c r="AQ64" s="3">
        <v>0</v>
      </c>
      <c r="AR64" s="3">
        <v>2</v>
      </c>
      <c r="AS64" s="3">
        <v>1</v>
      </c>
      <c r="AT64" s="3">
        <v>0</v>
      </c>
      <c r="AU64" s="3">
        <v>1</v>
      </c>
      <c r="AV64" s="3">
        <v>0</v>
      </c>
      <c r="AW64" s="3">
        <v>260</v>
      </c>
      <c r="AX64" s="3">
        <v>105</v>
      </c>
      <c r="AY64" s="3">
        <v>360</v>
      </c>
      <c r="AZ64" s="3">
        <v>0</v>
      </c>
      <c r="BA64" s="3">
        <v>1</v>
      </c>
      <c r="BB64" s="3">
        <v>1</v>
      </c>
      <c r="BC64" s="3">
        <v>0</v>
      </c>
      <c r="BD64" s="3">
        <v>1</v>
      </c>
      <c r="BE64" s="3">
        <v>0</v>
      </c>
      <c r="BF64" s="3">
        <v>360</v>
      </c>
      <c r="BG64" s="3">
        <v>105</v>
      </c>
      <c r="BH64" s="3">
        <v>260</v>
      </c>
      <c r="BI64" s="3">
        <v>0</v>
      </c>
      <c r="BJ64" s="3">
        <v>1</v>
      </c>
      <c r="BK64" s="3">
        <v>1</v>
      </c>
      <c r="BL64" s="3">
        <v>0</v>
      </c>
      <c r="BM64" s="3">
        <v>1</v>
      </c>
      <c r="BN64" s="3">
        <v>0</v>
      </c>
    </row>
    <row r="65" spans="1:66" x14ac:dyDescent="0.3">
      <c r="A65" s="2" t="str">
        <v>1</v>
      </c>
      <c r="B65" s="2">
        <v>4</v>
      </c>
      <c r="C65" s="2">
        <v>14007837</v>
      </c>
      <c r="D65" s="2" t="str">
        <v>CLUSTER BEZEL LOWER ASSY</v>
      </c>
      <c r="E65" s="3">
        <v>365</v>
      </c>
      <c r="F65" s="3">
        <v>63</v>
      </c>
      <c r="G65" s="3">
        <v>225</v>
      </c>
      <c r="H65" s="3">
        <v>96</v>
      </c>
      <c r="I65" s="3">
        <v>1</v>
      </c>
      <c r="J65" s="3">
        <v>96</v>
      </c>
      <c r="K65" s="3">
        <v>38</v>
      </c>
      <c r="L65" s="25" t="str">
        <v>Crate (400 x 300 x 120) mm</v>
      </c>
      <c r="M65" s="3">
        <v>360</v>
      </c>
      <c r="N65" s="3">
        <v>260</v>
      </c>
      <c r="O65" s="3">
        <v>105</v>
      </c>
      <c r="P65" s="3">
        <v>0</v>
      </c>
      <c r="Q65" s="3">
        <v>3</v>
      </c>
      <c r="R65" s="3">
        <v>0</v>
      </c>
      <c r="S65" s="3">
        <v>0</v>
      </c>
      <c r="T65" s="3">
        <v>0</v>
      </c>
      <c r="U65" s="3">
        <v>0</v>
      </c>
      <c r="V65" s="3">
        <v>260</v>
      </c>
      <c r="W65" s="3">
        <v>360</v>
      </c>
      <c r="X65" s="3">
        <v>105</v>
      </c>
      <c r="Y65" s="3">
        <v>0</v>
      </c>
      <c r="Z65" s="3">
        <v>5</v>
      </c>
      <c r="AA65" s="3">
        <v>0</v>
      </c>
      <c r="AB65" s="3">
        <v>0</v>
      </c>
      <c r="AC65" s="3">
        <v>0</v>
      </c>
      <c r="AD65" s="3">
        <v>0</v>
      </c>
      <c r="AE65" s="3">
        <v>105</v>
      </c>
      <c r="AF65" s="3">
        <v>360</v>
      </c>
      <c r="AG65" s="3">
        <v>260</v>
      </c>
      <c r="AH65" s="3">
        <v>0</v>
      </c>
      <c r="AI65" s="3">
        <v>5</v>
      </c>
      <c r="AJ65" s="3">
        <v>1</v>
      </c>
      <c r="AK65" s="3">
        <v>0</v>
      </c>
      <c r="AL65" s="3">
        <v>1</v>
      </c>
      <c r="AM65" s="3">
        <v>0</v>
      </c>
      <c r="AN65" s="3">
        <v>105</v>
      </c>
      <c r="AO65" s="3">
        <v>260</v>
      </c>
      <c r="AP65" s="3">
        <v>360</v>
      </c>
      <c r="AQ65" s="3">
        <v>0</v>
      </c>
      <c r="AR65" s="3">
        <v>3</v>
      </c>
      <c r="AS65" s="3">
        <v>1</v>
      </c>
      <c r="AT65" s="3">
        <v>0</v>
      </c>
      <c r="AU65" s="3">
        <v>1</v>
      </c>
      <c r="AV65" s="3">
        <v>0</v>
      </c>
      <c r="AW65" s="3">
        <v>260</v>
      </c>
      <c r="AX65" s="3">
        <v>105</v>
      </c>
      <c r="AY65" s="3">
        <v>360</v>
      </c>
      <c r="AZ65" s="3">
        <v>0</v>
      </c>
      <c r="BA65" s="3">
        <v>1</v>
      </c>
      <c r="BB65" s="3">
        <v>1</v>
      </c>
      <c r="BC65" s="3">
        <v>0</v>
      </c>
      <c r="BD65" s="3">
        <v>1</v>
      </c>
      <c r="BE65" s="3">
        <v>0</v>
      </c>
      <c r="BF65" s="3">
        <v>360</v>
      </c>
      <c r="BG65" s="3">
        <v>105</v>
      </c>
      <c r="BH65" s="3">
        <v>260</v>
      </c>
      <c r="BI65" s="3">
        <v>0</v>
      </c>
      <c r="BJ65" s="3">
        <v>1</v>
      </c>
      <c r="BK65" s="3">
        <v>1</v>
      </c>
      <c r="BL65" s="3">
        <v>0</v>
      </c>
      <c r="BM65" s="3">
        <v>1</v>
      </c>
      <c r="BN65" s="3">
        <v>0</v>
      </c>
    </row>
    <row r="66" spans="1:66" x14ac:dyDescent="0.3">
      <c r="A66" s="2" t="str">
        <v>1</v>
      </c>
      <c r="B66" s="2">
        <v>5</v>
      </c>
      <c r="C66" s="2">
        <v>14007838</v>
      </c>
      <c r="D66" s="2" t="str">
        <v>DRIVER SIDE BOOSTER COVER ASSY</v>
      </c>
      <c r="E66" s="3">
        <v>410</v>
      </c>
      <c r="F66" s="3">
        <v>280</v>
      </c>
      <c r="G66" s="3">
        <v>160</v>
      </c>
      <c r="H66" s="3">
        <v>16</v>
      </c>
      <c r="I66" s="3">
        <v>1</v>
      </c>
      <c r="J66" s="3">
        <v>16</v>
      </c>
      <c r="K66" s="3">
        <v>202</v>
      </c>
      <c r="L66" s="25" t="str">
        <v>Crate (400 x 300 x 120) mm</v>
      </c>
      <c r="M66" s="3">
        <v>360</v>
      </c>
      <c r="N66" s="3">
        <v>260</v>
      </c>
      <c r="O66" s="3">
        <v>105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260</v>
      </c>
      <c r="W66" s="3">
        <v>360</v>
      </c>
      <c r="X66" s="3">
        <v>105</v>
      </c>
      <c r="Y66" s="3">
        <v>0</v>
      </c>
      <c r="Z66" s="3">
        <v>1</v>
      </c>
      <c r="AA66" s="3">
        <v>0</v>
      </c>
      <c r="AB66" s="3">
        <v>0</v>
      </c>
      <c r="AC66" s="3">
        <v>0</v>
      </c>
      <c r="AD66" s="3">
        <v>0</v>
      </c>
      <c r="AE66" s="3">
        <v>105</v>
      </c>
      <c r="AF66" s="3">
        <v>360</v>
      </c>
      <c r="AG66" s="3">
        <v>260</v>
      </c>
      <c r="AH66" s="3">
        <v>0</v>
      </c>
      <c r="AI66" s="3">
        <v>1</v>
      </c>
      <c r="AJ66" s="3">
        <v>1</v>
      </c>
      <c r="AK66" s="3">
        <v>0</v>
      </c>
      <c r="AL66" s="3">
        <v>1</v>
      </c>
      <c r="AM66" s="3">
        <v>0</v>
      </c>
      <c r="AN66" s="3">
        <v>105</v>
      </c>
      <c r="AO66" s="3">
        <v>260</v>
      </c>
      <c r="AP66" s="3">
        <v>360</v>
      </c>
      <c r="AQ66" s="3">
        <v>0</v>
      </c>
      <c r="AR66" s="3">
        <v>0</v>
      </c>
      <c r="AS66" s="3">
        <v>2</v>
      </c>
      <c r="AT66" s="3">
        <v>0</v>
      </c>
      <c r="AU66" s="3">
        <v>2</v>
      </c>
      <c r="AV66" s="3">
        <v>0</v>
      </c>
      <c r="AW66" s="3">
        <v>260</v>
      </c>
      <c r="AX66" s="3">
        <v>105</v>
      </c>
      <c r="AY66" s="3">
        <v>360</v>
      </c>
      <c r="AZ66" s="3">
        <v>0</v>
      </c>
      <c r="BA66" s="3">
        <v>0</v>
      </c>
      <c r="BB66" s="3">
        <v>2</v>
      </c>
      <c r="BC66" s="3">
        <v>0</v>
      </c>
      <c r="BD66" s="3">
        <v>2</v>
      </c>
      <c r="BE66" s="3">
        <v>0</v>
      </c>
      <c r="BF66" s="3">
        <v>360</v>
      </c>
      <c r="BG66" s="3">
        <v>105</v>
      </c>
      <c r="BH66" s="3">
        <v>260</v>
      </c>
      <c r="BI66" s="3">
        <v>0</v>
      </c>
      <c r="BJ66" s="3">
        <v>0</v>
      </c>
      <c r="BK66" s="3">
        <v>1</v>
      </c>
      <c r="BL66" s="3">
        <v>0</v>
      </c>
      <c r="BM66" s="3">
        <v>1</v>
      </c>
      <c r="BN66" s="3">
        <v>0</v>
      </c>
    </row>
    <row r="67" spans="1:66" x14ac:dyDescent="0.3">
      <c r="A67" s="2" t="str">
        <v>1</v>
      </c>
      <c r="B67" s="2">
        <v>6</v>
      </c>
      <c r="C67" s="2">
        <v>14007839</v>
      </c>
      <c r="D67" s="2" t="str">
        <v>PASSENGER SIDE KNEE COVER RHD ASSY</v>
      </c>
      <c r="E67" s="3">
        <v>380</v>
      </c>
      <c r="F67" s="3">
        <v>110</v>
      </c>
      <c r="G67" s="3">
        <v>295</v>
      </c>
      <c r="H67" s="3">
        <v>64</v>
      </c>
      <c r="I67" s="3">
        <v>1</v>
      </c>
      <c r="J67" s="3">
        <v>64</v>
      </c>
      <c r="K67" s="3">
        <v>50</v>
      </c>
      <c r="L67" s="25" t="str">
        <v>Crate (400 x 300 x 120) mm</v>
      </c>
      <c r="M67" s="3">
        <v>360</v>
      </c>
      <c r="N67" s="3">
        <v>260</v>
      </c>
      <c r="O67" s="3">
        <v>105</v>
      </c>
      <c r="P67" s="3">
        <v>0</v>
      </c>
      <c r="Q67" s="3">
        <v>2</v>
      </c>
      <c r="R67" s="3">
        <v>0</v>
      </c>
      <c r="S67" s="3">
        <v>0</v>
      </c>
      <c r="T67" s="3">
        <v>0</v>
      </c>
      <c r="U67" s="3">
        <v>0</v>
      </c>
      <c r="V67" s="3">
        <v>260</v>
      </c>
      <c r="W67" s="3">
        <v>360</v>
      </c>
      <c r="X67" s="3">
        <v>105</v>
      </c>
      <c r="Y67" s="3">
        <v>0</v>
      </c>
      <c r="Z67" s="3">
        <v>3</v>
      </c>
      <c r="AA67" s="3">
        <v>0</v>
      </c>
      <c r="AB67" s="3">
        <v>0</v>
      </c>
      <c r="AC67" s="3">
        <v>0</v>
      </c>
      <c r="AD67" s="3">
        <v>0</v>
      </c>
      <c r="AE67" s="3">
        <v>105</v>
      </c>
      <c r="AF67" s="3">
        <v>360</v>
      </c>
      <c r="AG67" s="3">
        <v>260</v>
      </c>
      <c r="AH67" s="3">
        <v>0</v>
      </c>
      <c r="AI67" s="3">
        <v>3</v>
      </c>
      <c r="AJ67" s="3">
        <v>0</v>
      </c>
      <c r="AK67" s="3">
        <v>0</v>
      </c>
      <c r="AL67" s="3">
        <v>0</v>
      </c>
      <c r="AM67" s="3">
        <v>0</v>
      </c>
      <c r="AN67" s="3">
        <v>105</v>
      </c>
      <c r="AO67" s="3">
        <v>260</v>
      </c>
      <c r="AP67" s="3">
        <v>360</v>
      </c>
      <c r="AQ67" s="3">
        <v>0</v>
      </c>
      <c r="AR67" s="3">
        <v>2</v>
      </c>
      <c r="AS67" s="3">
        <v>1</v>
      </c>
      <c r="AT67" s="3">
        <v>0</v>
      </c>
      <c r="AU67" s="3">
        <v>1</v>
      </c>
      <c r="AV67" s="3">
        <v>0</v>
      </c>
      <c r="AW67" s="3">
        <v>260</v>
      </c>
      <c r="AX67" s="3">
        <v>105</v>
      </c>
      <c r="AY67" s="3">
        <v>360</v>
      </c>
      <c r="AZ67" s="3">
        <v>0</v>
      </c>
      <c r="BA67" s="3">
        <v>0</v>
      </c>
      <c r="BB67" s="3">
        <v>1</v>
      </c>
      <c r="BC67" s="3">
        <v>0</v>
      </c>
      <c r="BD67" s="3">
        <v>1</v>
      </c>
      <c r="BE67" s="3">
        <v>0</v>
      </c>
      <c r="BF67" s="3">
        <v>360</v>
      </c>
      <c r="BG67" s="3">
        <v>105</v>
      </c>
      <c r="BH67" s="3">
        <v>260</v>
      </c>
      <c r="BI67" s="3">
        <v>0</v>
      </c>
      <c r="BJ67" s="3">
        <v>0</v>
      </c>
      <c r="BK67" s="3">
        <v>0</v>
      </c>
      <c r="BL67" s="3">
        <v>0</v>
      </c>
      <c r="BM67" s="3">
        <v>0</v>
      </c>
      <c r="BN67" s="3">
        <v>0</v>
      </c>
    </row>
    <row r="68" spans="1:66" x14ac:dyDescent="0.3">
      <c r="A68" s="2" t="str">
        <v>1</v>
      </c>
      <c r="B68" s="2">
        <v>7</v>
      </c>
      <c r="C68" s="2">
        <v>14007840</v>
      </c>
      <c r="D68" s="2" t="str">
        <v>END CAP LH ASSY</v>
      </c>
      <c r="E68" s="3">
        <v>130</v>
      </c>
      <c r="F68" s="3">
        <v>50</v>
      </c>
      <c r="G68" s="3">
        <v>385</v>
      </c>
      <c r="H68" s="3">
        <v>192</v>
      </c>
      <c r="I68" s="3">
        <v>1</v>
      </c>
      <c r="J68" s="3">
        <v>192</v>
      </c>
      <c r="K68" s="3">
        <v>18</v>
      </c>
      <c r="L68" s="25" t="str">
        <v>Crate (400 x 300 x 120) mm</v>
      </c>
      <c r="M68" s="3">
        <v>360</v>
      </c>
      <c r="N68" s="3">
        <v>260</v>
      </c>
      <c r="O68" s="3">
        <v>105</v>
      </c>
      <c r="P68" s="3">
        <v>2</v>
      </c>
      <c r="Q68" s="3">
        <v>4</v>
      </c>
      <c r="R68" s="3">
        <v>0</v>
      </c>
      <c r="S68" s="3">
        <v>8</v>
      </c>
      <c r="T68" s="3">
        <v>0</v>
      </c>
      <c r="U68" s="3">
        <v>0</v>
      </c>
      <c r="V68" s="3">
        <v>260</v>
      </c>
      <c r="W68" s="3">
        <v>360</v>
      </c>
      <c r="X68" s="3">
        <v>105</v>
      </c>
      <c r="Y68" s="3">
        <v>1</v>
      </c>
      <c r="Z68" s="3">
        <v>6</v>
      </c>
      <c r="AA68" s="3">
        <v>0</v>
      </c>
      <c r="AB68" s="3">
        <v>6</v>
      </c>
      <c r="AC68" s="3">
        <v>0</v>
      </c>
      <c r="AD68" s="3">
        <v>0</v>
      </c>
      <c r="AE68" s="3">
        <v>105</v>
      </c>
      <c r="AF68" s="3">
        <v>360</v>
      </c>
      <c r="AG68" s="3">
        <v>260</v>
      </c>
      <c r="AH68" s="3">
        <v>0</v>
      </c>
      <c r="AI68" s="3">
        <v>6</v>
      </c>
      <c r="AJ68" s="3">
        <v>0</v>
      </c>
      <c r="AK68" s="3">
        <v>0</v>
      </c>
      <c r="AL68" s="3">
        <v>0</v>
      </c>
      <c r="AM68" s="3">
        <v>0</v>
      </c>
      <c r="AN68" s="3">
        <v>105</v>
      </c>
      <c r="AO68" s="3">
        <v>260</v>
      </c>
      <c r="AP68" s="3">
        <v>360</v>
      </c>
      <c r="AQ68" s="3">
        <v>0</v>
      </c>
      <c r="AR68" s="3">
        <v>4</v>
      </c>
      <c r="AS68" s="3">
        <v>0</v>
      </c>
      <c r="AT68" s="3">
        <v>0</v>
      </c>
      <c r="AU68" s="3">
        <v>0</v>
      </c>
      <c r="AV68" s="3">
        <v>0</v>
      </c>
      <c r="AW68" s="3">
        <v>260</v>
      </c>
      <c r="AX68" s="3">
        <v>105</v>
      </c>
      <c r="AY68" s="3">
        <v>360</v>
      </c>
      <c r="AZ68" s="3">
        <v>1</v>
      </c>
      <c r="BA68" s="3">
        <v>1</v>
      </c>
      <c r="BB68" s="3">
        <v>0</v>
      </c>
      <c r="BC68" s="3">
        <v>1</v>
      </c>
      <c r="BD68" s="3">
        <v>0</v>
      </c>
      <c r="BE68" s="3">
        <v>0</v>
      </c>
      <c r="BF68" s="3">
        <v>360</v>
      </c>
      <c r="BG68" s="3">
        <v>105</v>
      </c>
      <c r="BH68" s="3">
        <v>260</v>
      </c>
      <c r="BI68" s="3">
        <v>2</v>
      </c>
      <c r="BJ68" s="3">
        <v>1</v>
      </c>
      <c r="BK68" s="3">
        <v>0</v>
      </c>
      <c r="BL68" s="3">
        <v>2</v>
      </c>
      <c r="BM68" s="3">
        <v>0</v>
      </c>
      <c r="BN68" s="3">
        <v>0</v>
      </c>
    </row>
    <row r="69" spans="1:66" x14ac:dyDescent="0.3">
      <c r="A69" s="2" t="str">
        <v>1</v>
      </c>
      <c r="B69" s="2">
        <v>8</v>
      </c>
      <c r="C69" s="2">
        <v>14007841</v>
      </c>
      <c r="D69" s="2" t="str">
        <v>END CAP RH ASSY</v>
      </c>
      <c r="E69" s="3">
        <v>130</v>
      </c>
      <c r="F69" s="3">
        <v>50</v>
      </c>
      <c r="G69" s="3">
        <v>385</v>
      </c>
      <c r="H69" s="3">
        <v>192</v>
      </c>
      <c r="I69" s="3">
        <v>1</v>
      </c>
      <c r="J69" s="3">
        <v>192</v>
      </c>
      <c r="K69" s="3">
        <v>18</v>
      </c>
      <c r="L69" s="25" t="str">
        <v>Crate (400 x 300 x 120) mm</v>
      </c>
      <c r="M69" s="3">
        <v>360</v>
      </c>
      <c r="N69" s="3">
        <v>260</v>
      </c>
      <c r="O69" s="3">
        <v>105</v>
      </c>
      <c r="P69" s="3">
        <v>2</v>
      </c>
      <c r="Q69" s="3">
        <v>4</v>
      </c>
      <c r="R69" s="3">
        <v>0</v>
      </c>
      <c r="S69" s="3">
        <v>8</v>
      </c>
      <c r="T69" s="3">
        <v>0</v>
      </c>
      <c r="U69" s="3">
        <v>0</v>
      </c>
      <c r="V69" s="3">
        <v>260</v>
      </c>
      <c r="W69" s="3">
        <v>360</v>
      </c>
      <c r="X69" s="3">
        <v>105</v>
      </c>
      <c r="Y69" s="3">
        <v>1</v>
      </c>
      <c r="Z69" s="3">
        <v>6</v>
      </c>
      <c r="AA69" s="3">
        <v>0</v>
      </c>
      <c r="AB69" s="3">
        <v>6</v>
      </c>
      <c r="AC69" s="3">
        <v>0</v>
      </c>
      <c r="AD69" s="3">
        <v>0</v>
      </c>
      <c r="AE69" s="3">
        <v>105</v>
      </c>
      <c r="AF69" s="3">
        <v>360</v>
      </c>
      <c r="AG69" s="3">
        <v>260</v>
      </c>
      <c r="AH69" s="3">
        <v>0</v>
      </c>
      <c r="AI69" s="3">
        <v>6</v>
      </c>
      <c r="AJ69" s="3">
        <v>0</v>
      </c>
      <c r="AK69" s="3">
        <v>0</v>
      </c>
      <c r="AL69" s="3">
        <v>0</v>
      </c>
      <c r="AM69" s="3">
        <v>0</v>
      </c>
      <c r="AN69" s="3">
        <v>105</v>
      </c>
      <c r="AO69" s="3">
        <v>260</v>
      </c>
      <c r="AP69" s="3">
        <v>360</v>
      </c>
      <c r="AQ69" s="3">
        <v>0</v>
      </c>
      <c r="AR69" s="3">
        <v>4</v>
      </c>
      <c r="AS69" s="3">
        <v>0</v>
      </c>
      <c r="AT69" s="3">
        <v>0</v>
      </c>
      <c r="AU69" s="3">
        <v>0</v>
      </c>
      <c r="AV69" s="3">
        <v>0</v>
      </c>
      <c r="AW69" s="3">
        <v>260</v>
      </c>
      <c r="AX69" s="3">
        <v>105</v>
      </c>
      <c r="AY69" s="3">
        <v>360</v>
      </c>
      <c r="AZ69" s="3">
        <v>1</v>
      </c>
      <c r="BA69" s="3">
        <v>1</v>
      </c>
      <c r="BB69" s="3">
        <v>0</v>
      </c>
      <c r="BC69" s="3">
        <v>1</v>
      </c>
      <c r="BD69" s="3">
        <v>0</v>
      </c>
      <c r="BE69" s="3">
        <v>0</v>
      </c>
      <c r="BF69" s="3">
        <v>360</v>
      </c>
      <c r="BG69" s="3">
        <v>105</v>
      </c>
      <c r="BH69" s="3">
        <v>260</v>
      </c>
      <c r="BI69" s="3">
        <v>2</v>
      </c>
      <c r="BJ69" s="3">
        <v>1</v>
      </c>
      <c r="BK69" s="3">
        <v>0</v>
      </c>
      <c r="BL69" s="3">
        <v>2</v>
      </c>
      <c r="BM69" s="3">
        <v>0</v>
      </c>
      <c r="BN69" s="3">
        <v>0</v>
      </c>
    </row>
    <row r="70" spans="1:66" x14ac:dyDescent="0.3">
      <c r="A70" s="2" t="str">
        <v>1</v>
      </c>
      <c r="B70" s="2">
        <v>9</v>
      </c>
      <c r="C70" s="2">
        <v>14007842</v>
      </c>
      <c r="D70" s="2" t="str">
        <v>DRIVER SIDE KNEE COVER RHD ASSY</v>
      </c>
      <c r="E70" s="3">
        <v>170</v>
      </c>
      <c r="F70" s="3">
        <v>70</v>
      </c>
      <c r="G70" s="3">
        <v>265</v>
      </c>
      <c r="H70" s="3">
        <v>80</v>
      </c>
      <c r="I70" s="3">
        <v>1</v>
      </c>
      <c r="J70" s="3">
        <v>80</v>
      </c>
      <c r="K70" s="3">
        <v>40</v>
      </c>
      <c r="L70" s="25" t="str">
        <v>Crate (400 x 300 x 120) mm</v>
      </c>
      <c r="M70" s="3">
        <v>360</v>
      </c>
      <c r="N70" s="3">
        <v>260</v>
      </c>
      <c r="O70" s="3">
        <v>105</v>
      </c>
      <c r="P70" s="3">
        <v>2</v>
      </c>
      <c r="Q70" s="3">
        <v>3</v>
      </c>
      <c r="R70" s="3">
        <v>0</v>
      </c>
      <c r="S70" s="3">
        <v>6</v>
      </c>
      <c r="T70" s="3">
        <v>0</v>
      </c>
      <c r="U70" s="3">
        <v>0</v>
      </c>
      <c r="V70" s="3">
        <v>260</v>
      </c>
      <c r="W70" s="3">
        <v>360</v>
      </c>
      <c r="X70" s="3">
        <v>105</v>
      </c>
      <c r="Y70" s="3">
        <v>1</v>
      </c>
      <c r="Z70" s="3">
        <v>4</v>
      </c>
      <c r="AA70" s="3">
        <v>0</v>
      </c>
      <c r="AB70" s="3">
        <v>4</v>
      </c>
      <c r="AC70" s="3">
        <v>0</v>
      </c>
      <c r="AD70" s="3">
        <v>0</v>
      </c>
      <c r="AE70" s="3">
        <v>105</v>
      </c>
      <c r="AF70" s="3">
        <v>360</v>
      </c>
      <c r="AG70" s="3">
        <v>260</v>
      </c>
      <c r="AH70" s="3">
        <v>0</v>
      </c>
      <c r="AI70" s="3">
        <v>4</v>
      </c>
      <c r="AJ70" s="3">
        <v>0</v>
      </c>
      <c r="AK70" s="3">
        <v>0</v>
      </c>
      <c r="AL70" s="3">
        <v>0</v>
      </c>
      <c r="AM70" s="3">
        <v>0</v>
      </c>
      <c r="AN70" s="3">
        <v>105</v>
      </c>
      <c r="AO70" s="3">
        <v>260</v>
      </c>
      <c r="AP70" s="3">
        <v>360</v>
      </c>
      <c r="AQ70" s="3">
        <v>0</v>
      </c>
      <c r="AR70" s="3">
        <v>3</v>
      </c>
      <c r="AS70" s="3">
        <v>1</v>
      </c>
      <c r="AT70" s="3">
        <v>0</v>
      </c>
      <c r="AU70" s="3">
        <v>1</v>
      </c>
      <c r="AV70" s="3">
        <v>0</v>
      </c>
      <c r="AW70" s="3">
        <v>260</v>
      </c>
      <c r="AX70" s="3">
        <v>105</v>
      </c>
      <c r="AY70" s="3">
        <v>360</v>
      </c>
      <c r="AZ70" s="3">
        <v>1</v>
      </c>
      <c r="BA70" s="3">
        <v>1</v>
      </c>
      <c r="BB70" s="3">
        <v>1</v>
      </c>
      <c r="BC70" s="3">
        <v>1</v>
      </c>
      <c r="BD70" s="3">
        <v>1</v>
      </c>
      <c r="BE70" s="3">
        <v>1</v>
      </c>
      <c r="BF70" s="3">
        <v>360</v>
      </c>
      <c r="BG70" s="3">
        <v>105</v>
      </c>
      <c r="BH70" s="3">
        <v>260</v>
      </c>
      <c r="BI70" s="3">
        <v>2</v>
      </c>
      <c r="BJ70" s="3">
        <v>1</v>
      </c>
      <c r="BK70" s="3">
        <v>0</v>
      </c>
      <c r="BL70" s="3">
        <v>2</v>
      </c>
      <c r="BM70" s="3">
        <v>0</v>
      </c>
      <c r="BN70" s="3">
        <v>0</v>
      </c>
    </row>
    <row r="71" spans="1:66" x14ac:dyDescent="0.3">
      <c r="A71" s="2" t="str">
        <v>1</v>
      </c>
      <c r="B71" s="2">
        <v>10</v>
      </c>
      <c r="C71" s="2">
        <v>14007843</v>
      </c>
      <c r="D71" s="2" t="str">
        <v>DIN_BIN</v>
      </c>
      <c r="E71" s="3">
        <v>225</v>
      </c>
      <c r="F71" s="3">
        <v>70</v>
      </c>
      <c r="G71" s="3">
        <v>310</v>
      </c>
      <c r="H71" s="3">
        <v>192</v>
      </c>
      <c r="I71" s="3">
        <v>3</v>
      </c>
      <c r="J71" s="3">
        <v>576</v>
      </c>
      <c r="K71" s="3">
        <v>6</v>
      </c>
      <c r="L71" s="25" t="str">
        <v>Crate (400 x 300 x 120) mm</v>
      </c>
      <c r="M71" s="3">
        <v>360</v>
      </c>
      <c r="N71" s="3">
        <v>260</v>
      </c>
      <c r="O71" s="3">
        <v>105</v>
      </c>
      <c r="P71" s="3">
        <v>1</v>
      </c>
      <c r="Q71" s="3">
        <v>3</v>
      </c>
      <c r="R71" s="3">
        <v>0</v>
      </c>
      <c r="S71" s="3">
        <v>3</v>
      </c>
      <c r="T71" s="3">
        <v>0</v>
      </c>
      <c r="U71" s="3">
        <v>0</v>
      </c>
      <c r="V71" s="3">
        <v>260</v>
      </c>
      <c r="W71" s="3">
        <v>360</v>
      </c>
      <c r="X71" s="3">
        <v>105</v>
      </c>
      <c r="Y71" s="3">
        <v>1</v>
      </c>
      <c r="Z71" s="3">
        <v>4</v>
      </c>
      <c r="AA71" s="3">
        <v>0</v>
      </c>
      <c r="AB71" s="3">
        <v>4</v>
      </c>
      <c r="AC71" s="3">
        <v>0</v>
      </c>
      <c r="AD71" s="3">
        <v>0</v>
      </c>
      <c r="AE71" s="3">
        <v>105</v>
      </c>
      <c r="AF71" s="3">
        <v>360</v>
      </c>
      <c r="AG71" s="3">
        <v>260</v>
      </c>
      <c r="AH71" s="3">
        <v>0</v>
      </c>
      <c r="AI71" s="3">
        <v>4</v>
      </c>
      <c r="AJ71" s="3">
        <v>0</v>
      </c>
      <c r="AK71" s="3">
        <v>0</v>
      </c>
      <c r="AL71" s="3">
        <v>0</v>
      </c>
      <c r="AM71" s="3">
        <v>0</v>
      </c>
      <c r="AN71" s="3">
        <v>105</v>
      </c>
      <c r="AO71" s="3">
        <v>260</v>
      </c>
      <c r="AP71" s="3">
        <v>360</v>
      </c>
      <c r="AQ71" s="3">
        <v>0</v>
      </c>
      <c r="AR71" s="3">
        <v>3</v>
      </c>
      <c r="AS71" s="3">
        <v>1</v>
      </c>
      <c r="AT71" s="3">
        <v>0</v>
      </c>
      <c r="AU71" s="3">
        <v>1</v>
      </c>
      <c r="AV71" s="3">
        <v>0</v>
      </c>
      <c r="AW71" s="3">
        <v>260</v>
      </c>
      <c r="AX71" s="3">
        <v>105</v>
      </c>
      <c r="AY71" s="3">
        <v>360</v>
      </c>
      <c r="AZ71" s="3">
        <v>1</v>
      </c>
      <c r="BA71" s="3">
        <v>1</v>
      </c>
      <c r="BB71" s="3">
        <v>1</v>
      </c>
      <c r="BC71" s="3">
        <v>1</v>
      </c>
      <c r="BD71" s="3">
        <v>1</v>
      </c>
      <c r="BE71" s="3">
        <v>1</v>
      </c>
      <c r="BF71" s="3">
        <v>360</v>
      </c>
      <c r="BG71" s="3">
        <v>105</v>
      </c>
      <c r="BH71" s="3">
        <v>260</v>
      </c>
      <c r="BI71" s="3">
        <v>1</v>
      </c>
      <c r="BJ71" s="3">
        <v>1</v>
      </c>
      <c r="BK71" s="3">
        <v>0</v>
      </c>
      <c r="BL71" s="3">
        <v>1</v>
      </c>
      <c r="BM71" s="3">
        <v>0</v>
      </c>
      <c r="BN71" s="3">
        <v>0</v>
      </c>
    </row>
    <row r="72" spans="1:66" x14ac:dyDescent="0.3">
      <c r="A72" s="2" t="str">
        <v>1</v>
      </c>
      <c r="B72" s="2">
        <v>1</v>
      </c>
      <c r="C72" s="2">
        <v>14007834</v>
      </c>
      <c r="D72" s="2" t="str">
        <v>2.0_M_CENTER BEZEL PREMIUM ASSY</v>
      </c>
      <c r="E72" s="3">
        <v>274</v>
      </c>
      <c r="F72" s="3">
        <v>76</v>
      </c>
      <c r="G72" s="3">
        <v>620</v>
      </c>
      <c r="H72" s="3">
        <v>44</v>
      </c>
      <c r="I72" s="3">
        <v>1</v>
      </c>
      <c r="J72" s="3">
        <v>44</v>
      </c>
      <c r="K72" s="3">
        <v>80</v>
      </c>
      <c r="L72" s="25" t="str">
        <v>Crate (400 x 300 x 170) mm</v>
      </c>
      <c r="M72" s="3">
        <v>360</v>
      </c>
      <c r="N72" s="3">
        <v>260</v>
      </c>
      <c r="O72" s="3">
        <v>155</v>
      </c>
      <c r="P72" s="3">
        <v>1</v>
      </c>
      <c r="Q72" s="3">
        <v>3</v>
      </c>
      <c r="R72" s="3">
        <v>0</v>
      </c>
      <c r="S72" s="3">
        <v>3</v>
      </c>
      <c r="T72" s="3">
        <v>0</v>
      </c>
      <c r="U72" s="3">
        <v>0</v>
      </c>
      <c r="V72" s="3">
        <v>260</v>
      </c>
      <c r="W72" s="3">
        <v>360</v>
      </c>
      <c r="X72" s="3">
        <v>155</v>
      </c>
      <c r="Y72" s="3">
        <v>0</v>
      </c>
      <c r="Z72" s="3">
        <v>4</v>
      </c>
      <c r="AA72" s="3">
        <v>0</v>
      </c>
      <c r="AB72" s="3">
        <v>0</v>
      </c>
      <c r="AC72" s="3">
        <v>0</v>
      </c>
      <c r="AD72" s="3">
        <v>0</v>
      </c>
      <c r="AE72" s="3">
        <v>155</v>
      </c>
      <c r="AF72" s="3">
        <v>360</v>
      </c>
      <c r="AG72" s="3">
        <v>260</v>
      </c>
      <c r="AH72" s="3">
        <v>0</v>
      </c>
      <c r="AI72" s="3">
        <v>4</v>
      </c>
      <c r="AJ72" s="3">
        <v>0</v>
      </c>
      <c r="AK72" s="3">
        <v>0</v>
      </c>
      <c r="AL72" s="3">
        <v>0</v>
      </c>
      <c r="AM72" s="3">
        <v>0</v>
      </c>
      <c r="AN72" s="3">
        <v>155</v>
      </c>
      <c r="AO72" s="3">
        <v>260</v>
      </c>
      <c r="AP72" s="3">
        <v>360</v>
      </c>
      <c r="AQ72" s="3">
        <v>0</v>
      </c>
      <c r="AR72" s="3">
        <v>3</v>
      </c>
      <c r="AS72" s="3">
        <v>0</v>
      </c>
      <c r="AT72" s="3">
        <v>0</v>
      </c>
      <c r="AU72" s="3">
        <v>0</v>
      </c>
      <c r="AV72" s="3">
        <v>0</v>
      </c>
      <c r="AW72" s="3">
        <v>260</v>
      </c>
      <c r="AX72" s="3">
        <v>155</v>
      </c>
      <c r="AY72" s="3">
        <v>360</v>
      </c>
      <c r="AZ72" s="3">
        <v>0</v>
      </c>
      <c r="BA72" s="3">
        <v>1</v>
      </c>
      <c r="BB72" s="3">
        <v>0</v>
      </c>
      <c r="BC72" s="3">
        <v>0</v>
      </c>
      <c r="BD72" s="3">
        <v>0</v>
      </c>
      <c r="BE72" s="3">
        <v>0</v>
      </c>
      <c r="BF72" s="3">
        <v>360</v>
      </c>
      <c r="BG72" s="3">
        <v>155</v>
      </c>
      <c r="BH72" s="3">
        <v>260</v>
      </c>
      <c r="BI72" s="3">
        <v>1</v>
      </c>
      <c r="BJ72" s="3">
        <v>1</v>
      </c>
      <c r="BK72" s="3">
        <v>0</v>
      </c>
      <c r="BL72" s="3">
        <v>1</v>
      </c>
      <c r="BM72" s="3">
        <v>0</v>
      </c>
      <c r="BN72" s="3">
        <v>0</v>
      </c>
    </row>
    <row r="73" spans="1:66" x14ac:dyDescent="0.3">
      <c r="A73" s="2" t="str">
        <v>1</v>
      </c>
      <c r="B73" s="2">
        <v>2</v>
      </c>
      <c r="C73" s="2">
        <v>14007835</v>
      </c>
      <c r="D73" s="2" t="str">
        <v>SHROUD UPPER</v>
      </c>
      <c r="E73" s="3">
        <v>225</v>
      </c>
      <c r="F73" s="3">
        <v>125</v>
      </c>
      <c r="G73" s="3">
        <v>190</v>
      </c>
      <c r="H73" s="3">
        <v>96</v>
      </c>
      <c r="I73" s="3">
        <v>2</v>
      </c>
      <c r="J73" s="3">
        <v>192</v>
      </c>
      <c r="K73" s="3">
        <v>18</v>
      </c>
      <c r="L73" s="25" t="str">
        <v>Crate (400 x 300 x 170) mm</v>
      </c>
      <c r="M73" s="3">
        <v>360</v>
      </c>
      <c r="N73" s="3">
        <v>260</v>
      </c>
      <c r="O73" s="3">
        <v>155</v>
      </c>
      <c r="P73" s="3">
        <v>1</v>
      </c>
      <c r="Q73" s="3">
        <v>2</v>
      </c>
      <c r="R73" s="3">
        <v>0</v>
      </c>
      <c r="S73" s="3">
        <v>2</v>
      </c>
      <c r="T73" s="3">
        <v>0</v>
      </c>
      <c r="U73" s="3">
        <v>0</v>
      </c>
      <c r="V73" s="3">
        <v>260</v>
      </c>
      <c r="W73" s="3">
        <v>360</v>
      </c>
      <c r="X73" s="3">
        <v>155</v>
      </c>
      <c r="Y73" s="3">
        <v>1</v>
      </c>
      <c r="Z73" s="3">
        <v>2</v>
      </c>
      <c r="AA73" s="3">
        <v>0</v>
      </c>
      <c r="AB73" s="3">
        <v>2</v>
      </c>
      <c r="AC73" s="3">
        <v>0</v>
      </c>
      <c r="AD73" s="3">
        <v>0</v>
      </c>
      <c r="AE73" s="3">
        <v>155</v>
      </c>
      <c r="AF73" s="3">
        <v>360</v>
      </c>
      <c r="AG73" s="3">
        <v>260</v>
      </c>
      <c r="AH73" s="3">
        <v>0</v>
      </c>
      <c r="AI73" s="3">
        <v>2</v>
      </c>
      <c r="AJ73" s="3">
        <v>1</v>
      </c>
      <c r="AK73" s="3">
        <v>0</v>
      </c>
      <c r="AL73" s="3">
        <v>1</v>
      </c>
      <c r="AM73" s="3">
        <v>0</v>
      </c>
      <c r="AN73" s="3">
        <v>155</v>
      </c>
      <c r="AO73" s="3">
        <v>260</v>
      </c>
      <c r="AP73" s="3">
        <v>360</v>
      </c>
      <c r="AQ73" s="3">
        <v>0</v>
      </c>
      <c r="AR73" s="3">
        <v>2</v>
      </c>
      <c r="AS73" s="3">
        <v>1</v>
      </c>
      <c r="AT73" s="3">
        <v>0</v>
      </c>
      <c r="AU73" s="3">
        <v>1</v>
      </c>
      <c r="AV73" s="3">
        <v>0</v>
      </c>
      <c r="AW73" s="3">
        <v>260</v>
      </c>
      <c r="AX73" s="3">
        <v>155</v>
      </c>
      <c r="AY73" s="3">
        <v>360</v>
      </c>
      <c r="AZ73" s="3">
        <v>1</v>
      </c>
      <c r="BA73" s="3">
        <v>1</v>
      </c>
      <c r="BB73" s="3">
        <v>1</v>
      </c>
      <c r="BC73" s="3">
        <v>1</v>
      </c>
      <c r="BD73" s="3">
        <v>1</v>
      </c>
      <c r="BE73" s="3">
        <v>1</v>
      </c>
      <c r="BF73" s="3">
        <v>360</v>
      </c>
      <c r="BG73" s="3">
        <v>155</v>
      </c>
      <c r="BH73" s="3">
        <v>260</v>
      </c>
      <c r="BI73" s="3">
        <v>1</v>
      </c>
      <c r="BJ73" s="3">
        <v>1</v>
      </c>
      <c r="BK73" s="3">
        <v>1</v>
      </c>
      <c r="BL73" s="3">
        <v>1</v>
      </c>
      <c r="BM73" s="3">
        <v>1</v>
      </c>
      <c r="BN73" s="3">
        <v>1</v>
      </c>
    </row>
    <row r="74" spans="1:66" x14ac:dyDescent="0.3">
      <c r="A74" s="2" t="str">
        <v>1</v>
      </c>
      <c r="B74" s="2">
        <v>3</v>
      </c>
      <c r="C74" s="2">
        <v>14007836</v>
      </c>
      <c r="D74" s="2" t="str">
        <v>SHROUD LOWER</v>
      </c>
      <c r="E74" s="3">
        <v>435</v>
      </c>
      <c r="F74" s="3">
        <v>100</v>
      </c>
      <c r="G74" s="3">
        <v>210</v>
      </c>
      <c r="H74" s="3">
        <v>48</v>
      </c>
      <c r="I74" s="3">
        <v>1</v>
      </c>
      <c r="J74" s="3">
        <v>48</v>
      </c>
      <c r="K74" s="3">
        <v>75</v>
      </c>
      <c r="L74" s="25" t="str">
        <v>Crate (400 x 300 x 170) mm</v>
      </c>
      <c r="M74" s="3">
        <v>360</v>
      </c>
      <c r="N74" s="3">
        <v>260</v>
      </c>
      <c r="O74" s="3">
        <v>155</v>
      </c>
      <c r="P74" s="3">
        <v>0</v>
      </c>
      <c r="Q74" s="3">
        <v>2</v>
      </c>
      <c r="R74" s="3">
        <v>0</v>
      </c>
      <c r="S74" s="3">
        <v>0</v>
      </c>
      <c r="T74" s="3">
        <v>0</v>
      </c>
      <c r="U74" s="3">
        <v>0</v>
      </c>
      <c r="V74" s="3">
        <v>260</v>
      </c>
      <c r="W74" s="3">
        <v>360</v>
      </c>
      <c r="X74" s="3">
        <v>155</v>
      </c>
      <c r="Y74" s="3">
        <v>0</v>
      </c>
      <c r="Z74" s="3">
        <v>3</v>
      </c>
      <c r="AA74" s="3">
        <v>0</v>
      </c>
      <c r="AB74" s="3">
        <v>0</v>
      </c>
      <c r="AC74" s="3">
        <v>0</v>
      </c>
      <c r="AD74" s="3">
        <v>0</v>
      </c>
      <c r="AE74" s="3">
        <v>155</v>
      </c>
      <c r="AF74" s="3">
        <v>360</v>
      </c>
      <c r="AG74" s="3">
        <v>260</v>
      </c>
      <c r="AH74" s="3">
        <v>0</v>
      </c>
      <c r="AI74" s="3">
        <v>3</v>
      </c>
      <c r="AJ74" s="3">
        <v>1</v>
      </c>
      <c r="AK74" s="3">
        <v>0</v>
      </c>
      <c r="AL74" s="3">
        <v>1</v>
      </c>
      <c r="AM74" s="3">
        <v>0</v>
      </c>
      <c r="AN74" s="3">
        <v>155</v>
      </c>
      <c r="AO74" s="3">
        <v>260</v>
      </c>
      <c r="AP74" s="3">
        <v>360</v>
      </c>
      <c r="AQ74" s="3">
        <v>0</v>
      </c>
      <c r="AR74" s="3">
        <v>2</v>
      </c>
      <c r="AS74" s="3">
        <v>1</v>
      </c>
      <c r="AT74" s="3">
        <v>0</v>
      </c>
      <c r="AU74" s="3">
        <v>1</v>
      </c>
      <c r="AV74" s="3">
        <v>0</v>
      </c>
      <c r="AW74" s="3">
        <v>260</v>
      </c>
      <c r="AX74" s="3">
        <v>155</v>
      </c>
      <c r="AY74" s="3">
        <v>360</v>
      </c>
      <c r="AZ74" s="3">
        <v>0</v>
      </c>
      <c r="BA74" s="3">
        <v>1</v>
      </c>
      <c r="BB74" s="3">
        <v>1</v>
      </c>
      <c r="BC74" s="3">
        <v>0</v>
      </c>
      <c r="BD74" s="3">
        <v>1</v>
      </c>
      <c r="BE74" s="3">
        <v>0</v>
      </c>
      <c r="BF74" s="3">
        <v>360</v>
      </c>
      <c r="BG74" s="3">
        <v>155</v>
      </c>
      <c r="BH74" s="3">
        <v>260</v>
      </c>
      <c r="BI74" s="3">
        <v>0</v>
      </c>
      <c r="BJ74" s="3">
        <v>1</v>
      </c>
      <c r="BK74" s="3">
        <v>1</v>
      </c>
      <c r="BL74" s="3">
        <v>0</v>
      </c>
      <c r="BM74" s="3">
        <v>1</v>
      </c>
      <c r="BN74" s="3">
        <v>0</v>
      </c>
    </row>
    <row r="75" spans="1:66" x14ac:dyDescent="0.3">
      <c r="A75" s="2" t="str">
        <v>1</v>
      </c>
      <c r="B75" s="2">
        <v>4</v>
      </c>
      <c r="C75" s="2">
        <v>14007837</v>
      </c>
      <c r="D75" s="2" t="str">
        <v>CLUSTER BEZEL LOWER ASSY</v>
      </c>
      <c r="E75" s="3">
        <v>365</v>
      </c>
      <c r="F75" s="3">
        <v>63</v>
      </c>
      <c r="G75" s="3">
        <v>225</v>
      </c>
      <c r="H75" s="3">
        <v>96</v>
      </c>
      <c r="I75" s="3">
        <v>1</v>
      </c>
      <c r="J75" s="3">
        <v>96</v>
      </c>
      <c r="K75" s="3">
        <v>38</v>
      </c>
      <c r="L75" s="25" t="str">
        <v>Crate (400 x 300 x 170) mm</v>
      </c>
      <c r="M75" s="3">
        <v>360</v>
      </c>
      <c r="N75" s="3">
        <v>260</v>
      </c>
      <c r="O75" s="3">
        <v>155</v>
      </c>
      <c r="P75" s="3">
        <v>0</v>
      </c>
      <c r="Q75" s="3">
        <v>3</v>
      </c>
      <c r="R75" s="3">
        <v>0</v>
      </c>
      <c r="S75" s="3">
        <v>0</v>
      </c>
      <c r="T75" s="3">
        <v>0</v>
      </c>
      <c r="U75" s="3">
        <v>0</v>
      </c>
      <c r="V75" s="3">
        <v>260</v>
      </c>
      <c r="W75" s="3">
        <v>360</v>
      </c>
      <c r="X75" s="3">
        <v>155</v>
      </c>
      <c r="Y75" s="3">
        <v>0</v>
      </c>
      <c r="Z75" s="3">
        <v>5</v>
      </c>
      <c r="AA75" s="3">
        <v>0</v>
      </c>
      <c r="AB75" s="3">
        <v>0</v>
      </c>
      <c r="AC75" s="3">
        <v>0</v>
      </c>
      <c r="AD75" s="3">
        <v>0</v>
      </c>
      <c r="AE75" s="3">
        <v>155</v>
      </c>
      <c r="AF75" s="3">
        <v>360</v>
      </c>
      <c r="AG75" s="3">
        <v>260</v>
      </c>
      <c r="AH75" s="3">
        <v>0</v>
      </c>
      <c r="AI75" s="3">
        <v>5</v>
      </c>
      <c r="AJ75" s="3">
        <v>1</v>
      </c>
      <c r="AK75" s="3">
        <v>0</v>
      </c>
      <c r="AL75" s="3">
        <v>1</v>
      </c>
      <c r="AM75" s="3">
        <v>0</v>
      </c>
      <c r="AN75" s="3">
        <v>155</v>
      </c>
      <c r="AO75" s="3">
        <v>260</v>
      </c>
      <c r="AP75" s="3">
        <v>360</v>
      </c>
      <c r="AQ75" s="3">
        <v>0</v>
      </c>
      <c r="AR75" s="3">
        <v>3</v>
      </c>
      <c r="AS75" s="3">
        <v>1</v>
      </c>
      <c r="AT75" s="3">
        <v>0</v>
      </c>
      <c r="AU75" s="3">
        <v>1</v>
      </c>
      <c r="AV75" s="3">
        <v>0</v>
      </c>
      <c r="AW75" s="3">
        <v>260</v>
      </c>
      <c r="AX75" s="3">
        <v>155</v>
      </c>
      <c r="AY75" s="3">
        <v>360</v>
      </c>
      <c r="AZ75" s="3">
        <v>0</v>
      </c>
      <c r="BA75" s="3">
        <v>2</v>
      </c>
      <c r="BB75" s="3">
        <v>1</v>
      </c>
      <c r="BC75" s="3">
        <v>0</v>
      </c>
      <c r="BD75" s="3">
        <v>1</v>
      </c>
      <c r="BE75" s="3">
        <v>0</v>
      </c>
      <c r="BF75" s="3">
        <v>360</v>
      </c>
      <c r="BG75" s="3">
        <v>155</v>
      </c>
      <c r="BH75" s="3">
        <v>260</v>
      </c>
      <c r="BI75" s="3">
        <v>0</v>
      </c>
      <c r="BJ75" s="3">
        <v>2</v>
      </c>
      <c r="BK75" s="3">
        <v>1</v>
      </c>
      <c r="BL75" s="3">
        <v>0</v>
      </c>
      <c r="BM75" s="3">
        <v>1</v>
      </c>
      <c r="BN75" s="3">
        <v>0</v>
      </c>
    </row>
    <row r="76" spans="1:66" x14ac:dyDescent="0.3">
      <c r="A76" s="2" t="str">
        <v>1</v>
      </c>
      <c r="B76" s="2">
        <v>5</v>
      </c>
      <c r="C76" s="2">
        <v>14007838</v>
      </c>
      <c r="D76" s="2" t="str">
        <v>DRIVER SIDE BOOSTER COVER ASSY</v>
      </c>
      <c r="E76" s="3">
        <v>410</v>
      </c>
      <c r="F76" s="3">
        <v>280</v>
      </c>
      <c r="G76" s="3">
        <v>160</v>
      </c>
      <c r="H76" s="3">
        <v>16</v>
      </c>
      <c r="I76" s="3">
        <v>1</v>
      </c>
      <c r="J76" s="3">
        <v>16</v>
      </c>
      <c r="K76" s="3">
        <v>202</v>
      </c>
      <c r="L76" s="25" t="str">
        <v>Crate (400 x 300 x 170) mm</v>
      </c>
      <c r="M76" s="3">
        <v>360</v>
      </c>
      <c r="N76" s="3">
        <v>260</v>
      </c>
      <c r="O76" s="3">
        <v>155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260</v>
      </c>
      <c r="W76" s="3">
        <v>360</v>
      </c>
      <c r="X76" s="3">
        <v>155</v>
      </c>
      <c r="Y76" s="3">
        <v>0</v>
      </c>
      <c r="Z76" s="3">
        <v>1</v>
      </c>
      <c r="AA76" s="3">
        <v>0</v>
      </c>
      <c r="AB76" s="3">
        <v>0</v>
      </c>
      <c r="AC76" s="3">
        <v>0</v>
      </c>
      <c r="AD76" s="3">
        <v>0</v>
      </c>
      <c r="AE76" s="3">
        <v>155</v>
      </c>
      <c r="AF76" s="3">
        <v>360</v>
      </c>
      <c r="AG76" s="3">
        <v>260</v>
      </c>
      <c r="AH76" s="3">
        <v>0</v>
      </c>
      <c r="AI76" s="3">
        <v>1</v>
      </c>
      <c r="AJ76" s="3">
        <v>1</v>
      </c>
      <c r="AK76" s="3">
        <v>0</v>
      </c>
      <c r="AL76" s="3">
        <v>1</v>
      </c>
      <c r="AM76" s="3">
        <v>0</v>
      </c>
      <c r="AN76" s="3">
        <v>155</v>
      </c>
      <c r="AO76" s="3">
        <v>260</v>
      </c>
      <c r="AP76" s="3">
        <v>360</v>
      </c>
      <c r="AQ76" s="3">
        <v>0</v>
      </c>
      <c r="AR76" s="3">
        <v>0</v>
      </c>
      <c r="AS76" s="3">
        <v>2</v>
      </c>
      <c r="AT76" s="3">
        <v>0</v>
      </c>
      <c r="AU76" s="3">
        <v>2</v>
      </c>
      <c r="AV76" s="3">
        <v>0</v>
      </c>
      <c r="AW76" s="3">
        <v>260</v>
      </c>
      <c r="AX76" s="3">
        <v>155</v>
      </c>
      <c r="AY76" s="3">
        <v>360</v>
      </c>
      <c r="AZ76" s="3">
        <v>0</v>
      </c>
      <c r="BA76" s="3">
        <v>0</v>
      </c>
      <c r="BB76" s="3">
        <v>2</v>
      </c>
      <c r="BC76" s="3">
        <v>0</v>
      </c>
      <c r="BD76" s="3">
        <v>2</v>
      </c>
      <c r="BE76" s="3">
        <v>0</v>
      </c>
      <c r="BF76" s="3">
        <v>360</v>
      </c>
      <c r="BG76" s="3">
        <v>155</v>
      </c>
      <c r="BH76" s="3">
        <v>260</v>
      </c>
      <c r="BI76" s="3">
        <v>0</v>
      </c>
      <c r="BJ76" s="3">
        <v>0</v>
      </c>
      <c r="BK76" s="3">
        <v>1</v>
      </c>
      <c r="BL76" s="3">
        <v>0</v>
      </c>
      <c r="BM76" s="3">
        <v>1</v>
      </c>
      <c r="BN76" s="3">
        <v>0</v>
      </c>
    </row>
    <row r="77" spans="1:66" x14ac:dyDescent="0.3">
      <c r="A77" s="2" t="str">
        <v>1</v>
      </c>
      <c r="B77" s="2">
        <v>6</v>
      </c>
      <c r="C77" s="2">
        <v>14007839</v>
      </c>
      <c r="D77" s="2" t="str">
        <v>PASSENGER SIDE KNEE COVER RHD ASSY</v>
      </c>
      <c r="E77" s="3">
        <v>380</v>
      </c>
      <c r="F77" s="3">
        <v>110</v>
      </c>
      <c r="G77" s="3">
        <v>295</v>
      </c>
      <c r="H77" s="3">
        <v>64</v>
      </c>
      <c r="I77" s="3">
        <v>1</v>
      </c>
      <c r="J77" s="3">
        <v>64</v>
      </c>
      <c r="K77" s="3">
        <v>50</v>
      </c>
      <c r="L77" s="25" t="str">
        <v>Crate (400 x 300 x 170) mm</v>
      </c>
      <c r="M77" s="3">
        <v>360</v>
      </c>
      <c r="N77" s="3">
        <v>260</v>
      </c>
      <c r="O77" s="3">
        <v>155</v>
      </c>
      <c r="P77" s="3">
        <v>0</v>
      </c>
      <c r="Q77" s="3">
        <v>2</v>
      </c>
      <c r="R77" s="3">
        <v>0</v>
      </c>
      <c r="S77" s="3">
        <v>0</v>
      </c>
      <c r="T77" s="3">
        <v>0</v>
      </c>
      <c r="U77" s="3">
        <v>0</v>
      </c>
      <c r="V77" s="3">
        <v>260</v>
      </c>
      <c r="W77" s="3">
        <v>360</v>
      </c>
      <c r="X77" s="3">
        <v>155</v>
      </c>
      <c r="Y77" s="3">
        <v>0</v>
      </c>
      <c r="Z77" s="3">
        <v>3</v>
      </c>
      <c r="AA77" s="3">
        <v>0</v>
      </c>
      <c r="AB77" s="3">
        <v>0</v>
      </c>
      <c r="AC77" s="3">
        <v>0</v>
      </c>
      <c r="AD77" s="3">
        <v>0</v>
      </c>
      <c r="AE77" s="3">
        <v>155</v>
      </c>
      <c r="AF77" s="3">
        <v>360</v>
      </c>
      <c r="AG77" s="3">
        <v>260</v>
      </c>
      <c r="AH77" s="3">
        <v>0</v>
      </c>
      <c r="AI77" s="3">
        <v>3</v>
      </c>
      <c r="AJ77" s="3">
        <v>0</v>
      </c>
      <c r="AK77" s="3">
        <v>0</v>
      </c>
      <c r="AL77" s="3">
        <v>0</v>
      </c>
      <c r="AM77" s="3">
        <v>0</v>
      </c>
      <c r="AN77" s="3">
        <v>155</v>
      </c>
      <c r="AO77" s="3">
        <v>260</v>
      </c>
      <c r="AP77" s="3">
        <v>360</v>
      </c>
      <c r="AQ77" s="3">
        <v>0</v>
      </c>
      <c r="AR77" s="3">
        <v>2</v>
      </c>
      <c r="AS77" s="3">
        <v>1</v>
      </c>
      <c r="AT77" s="3">
        <v>0</v>
      </c>
      <c r="AU77" s="3">
        <v>1</v>
      </c>
      <c r="AV77" s="3">
        <v>0</v>
      </c>
      <c r="AW77" s="3">
        <v>260</v>
      </c>
      <c r="AX77" s="3">
        <v>155</v>
      </c>
      <c r="AY77" s="3">
        <v>360</v>
      </c>
      <c r="AZ77" s="3">
        <v>0</v>
      </c>
      <c r="BA77" s="3">
        <v>1</v>
      </c>
      <c r="BB77" s="3">
        <v>1</v>
      </c>
      <c r="BC77" s="3">
        <v>0</v>
      </c>
      <c r="BD77" s="3">
        <v>1</v>
      </c>
      <c r="BE77" s="3">
        <v>0</v>
      </c>
      <c r="BF77" s="3">
        <v>360</v>
      </c>
      <c r="BG77" s="3">
        <v>155</v>
      </c>
      <c r="BH77" s="3">
        <v>260</v>
      </c>
      <c r="BI77" s="3">
        <v>0</v>
      </c>
      <c r="BJ77" s="3">
        <v>1</v>
      </c>
      <c r="BK77" s="3">
        <v>0</v>
      </c>
      <c r="BL77" s="3">
        <v>0</v>
      </c>
      <c r="BM77" s="3">
        <v>0</v>
      </c>
      <c r="BN77" s="3">
        <v>0</v>
      </c>
    </row>
    <row r="78" spans="1:66" x14ac:dyDescent="0.3">
      <c r="A78" s="2" t="str">
        <v>1</v>
      </c>
      <c r="B78" s="2">
        <v>7</v>
      </c>
      <c r="C78" s="2">
        <v>14007840</v>
      </c>
      <c r="D78" s="2" t="str">
        <v>END CAP LH ASSY</v>
      </c>
      <c r="E78" s="3">
        <v>130</v>
      </c>
      <c r="F78" s="3">
        <v>50</v>
      </c>
      <c r="G78" s="3">
        <v>385</v>
      </c>
      <c r="H78" s="3">
        <v>192</v>
      </c>
      <c r="I78" s="3">
        <v>1</v>
      </c>
      <c r="J78" s="3">
        <v>192</v>
      </c>
      <c r="K78" s="3">
        <v>18</v>
      </c>
      <c r="L78" s="25" t="str">
        <v>Crate (400 x 300 x 170) mm</v>
      </c>
      <c r="M78" s="3">
        <v>360</v>
      </c>
      <c r="N78" s="3">
        <v>260</v>
      </c>
      <c r="O78" s="3">
        <v>155</v>
      </c>
      <c r="P78" s="3">
        <v>2</v>
      </c>
      <c r="Q78" s="3">
        <v>4</v>
      </c>
      <c r="R78" s="3">
        <v>0</v>
      </c>
      <c r="S78" s="3">
        <v>8</v>
      </c>
      <c r="T78" s="3">
        <v>0</v>
      </c>
      <c r="U78" s="3">
        <v>0</v>
      </c>
      <c r="V78" s="3">
        <v>260</v>
      </c>
      <c r="W78" s="3">
        <v>360</v>
      </c>
      <c r="X78" s="3">
        <v>155</v>
      </c>
      <c r="Y78" s="3">
        <v>1</v>
      </c>
      <c r="Z78" s="3">
        <v>6</v>
      </c>
      <c r="AA78" s="3">
        <v>0</v>
      </c>
      <c r="AB78" s="3">
        <v>6</v>
      </c>
      <c r="AC78" s="3">
        <v>0</v>
      </c>
      <c r="AD78" s="3">
        <v>0</v>
      </c>
      <c r="AE78" s="3">
        <v>155</v>
      </c>
      <c r="AF78" s="3">
        <v>360</v>
      </c>
      <c r="AG78" s="3">
        <v>260</v>
      </c>
      <c r="AH78" s="3">
        <v>1</v>
      </c>
      <c r="AI78" s="3">
        <v>6</v>
      </c>
      <c r="AJ78" s="3">
        <v>0</v>
      </c>
      <c r="AK78" s="3">
        <v>6</v>
      </c>
      <c r="AL78" s="3">
        <v>0</v>
      </c>
      <c r="AM78" s="3">
        <v>0</v>
      </c>
      <c r="AN78" s="3">
        <v>155</v>
      </c>
      <c r="AO78" s="3">
        <v>260</v>
      </c>
      <c r="AP78" s="3">
        <v>360</v>
      </c>
      <c r="AQ78" s="3">
        <v>1</v>
      </c>
      <c r="AR78" s="3">
        <v>4</v>
      </c>
      <c r="AS78" s="3">
        <v>0</v>
      </c>
      <c r="AT78" s="3">
        <v>4</v>
      </c>
      <c r="AU78" s="3">
        <v>0</v>
      </c>
      <c r="AV78" s="3">
        <v>0</v>
      </c>
      <c r="AW78" s="3">
        <v>260</v>
      </c>
      <c r="AX78" s="3">
        <v>155</v>
      </c>
      <c r="AY78" s="3">
        <v>360</v>
      </c>
      <c r="AZ78" s="3">
        <v>1</v>
      </c>
      <c r="BA78" s="3">
        <v>2</v>
      </c>
      <c r="BB78" s="3">
        <v>0</v>
      </c>
      <c r="BC78" s="3">
        <v>2</v>
      </c>
      <c r="BD78" s="3">
        <v>0</v>
      </c>
      <c r="BE78" s="3">
        <v>0</v>
      </c>
      <c r="BF78" s="3">
        <v>360</v>
      </c>
      <c r="BG78" s="3">
        <v>155</v>
      </c>
      <c r="BH78" s="3">
        <v>260</v>
      </c>
      <c r="BI78" s="3">
        <v>2</v>
      </c>
      <c r="BJ78" s="3">
        <v>2</v>
      </c>
      <c r="BK78" s="3">
        <v>0</v>
      </c>
      <c r="BL78" s="3">
        <v>4</v>
      </c>
      <c r="BM78" s="3">
        <v>0</v>
      </c>
      <c r="BN78" s="3">
        <v>0</v>
      </c>
    </row>
    <row r="79" spans="1:66" x14ac:dyDescent="0.3">
      <c r="A79" s="2" t="str">
        <v>1</v>
      </c>
      <c r="B79" s="2">
        <v>8</v>
      </c>
      <c r="C79" s="2">
        <v>14007841</v>
      </c>
      <c r="D79" s="2" t="str">
        <v>END CAP RH ASSY</v>
      </c>
      <c r="E79" s="3">
        <v>130</v>
      </c>
      <c r="F79" s="3">
        <v>50</v>
      </c>
      <c r="G79" s="3">
        <v>385</v>
      </c>
      <c r="H79" s="3">
        <v>192</v>
      </c>
      <c r="I79" s="3">
        <v>1</v>
      </c>
      <c r="J79" s="3">
        <v>192</v>
      </c>
      <c r="K79" s="3">
        <v>18</v>
      </c>
      <c r="L79" s="25" t="str">
        <v>Crate (400 x 300 x 170) mm</v>
      </c>
      <c r="M79" s="3">
        <v>360</v>
      </c>
      <c r="N79" s="3">
        <v>260</v>
      </c>
      <c r="O79" s="3">
        <v>155</v>
      </c>
      <c r="P79" s="3">
        <v>2</v>
      </c>
      <c r="Q79" s="3">
        <v>4</v>
      </c>
      <c r="R79" s="3">
        <v>0</v>
      </c>
      <c r="S79" s="3">
        <v>8</v>
      </c>
      <c r="T79" s="3">
        <v>0</v>
      </c>
      <c r="U79" s="3">
        <v>0</v>
      </c>
      <c r="V79" s="3">
        <v>260</v>
      </c>
      <c r="W79" s="3">
        <v>360</v>
      </c>
      <c r="X79" s="3">
        <v>155</v>
      </c>
      <c r="Y79" s="3">
        <v>1</v>
      </c>
      <c r="Z79" s="3">
        <v>6</v>
      </c>
      <c r="AA79" s="3">
        <v>0</v>
      </c>
      <c r="AB79" s="3">
        <v>6</v>
      </c>
      <c r="AC79" s="3">
        <v>0</v>
      </c>
      <c r="AD79" s="3">
        <v>0</v>
      </c>
      <c r="AE79" s="3">
        <v>155</v>
      </c>
      <c r="AF79" s="3">
        <v>360</v>
      </c>
      <c r="AG79" s="3">
        <v>260</v>
      </c>
      <c r="AH79" s="3">
        <v>1</v>
      </c>
      <c r="AI79" s="3">
        <v>6</v>
      </c>
      <c r="AJ79" s="3">
        <v>0</v>
      </c>
      <c r="AK79" s="3">
        <v>6</v>
      </c>
      <c r="AL79" s="3">
        <v>0</v>
      </c>
      <c r="AM79" s="3">
        <v>0</v>
      </c>
      <c r="AN79" s="3">
        <v>155</v>
      </c>
      <c r="AO79" s="3">
        <v>260</v>
      </c>
      <c r="AP79" s="3">
        <v>360</v>
      </c>
      <c r="AQ79" s="3">
        <v>1</v>
      </c>
      <c r="AR79" s="3">
        <v>4</v>
      </c>
      <c r="AS79" s="3">
        <v>0</v>
      </c>
      <c r="AT79" s="3">
        <v>4</v>
      </c>
      <c r="AU79" s="3">
        <v>0</v>
      </c>
      <c r="AV79" s="3">
        <v>0</v>
      </c>
      <c r="AW79" s="3">
        <v>260</v>
      </c>
      <c r="AX79" s="3">
        <v>155</v>
      </c>
      <c r="AY79" s="3">
        <v>360</v>
      </c>
      <c r="AZ79" s="3">
        <v>1</v>
      </c>
      <c r="BA79" s="3">
        <v>2</v>
      </c>
      <c r="BB79" s="3">
        <v>0</v>
      </c>
      <c r="BC79" s="3">
        <v>2</v>
      </c>
      <c r="BD79" s="3">
        <v>0</v>
      </c>
      <c r="BE79" s="3">
        <v>0</v>
      </c>
      <c r="BF79" s="3">
        <v>360</v>
      </c>
      <c r="BG79" s="3">
        <v>155</v>
      </c>
      <c r="BH79" s="3">
        <v>260</v>
      </c>
      <c r="BI79" s="3">
        <v>2</v>
      </c>
      <c r="BJ79" s="3">
        <v>2</v>
      </c>
      <c r="BK79" s="3">
        <v>0</v>
      </c>
      <c r="BL79" s="3">
        <v>4</v>
      </c>
      <c r="BM79" s="3">
        <v>0</v>
      </c>
      <c r="BN79" s="3">
        <v>0</v>
      </c>
    </row>
    <row r="80" spans="1:66" x14ac:dyDescent="0.3">
      <c r="A80" s="2" t="str">
        <v>1</v>
      </c>
      <c r="B80" s="2">
        <v>9</v>
      </c>
      <c r="C80" s="2">
        <v>14007842</v>
      </c>
      <c r="D80" s="2" t="str">
        <v>DRIVER SIDE KNEE COVER RHD ASSY</v>
      </c>
      <c r="E80" s="3">
        <v>170</v>
      </c>
      <c r="F80" s="3">
        <v>70</v>
      </c>
      <c r="G80" s="3">
        <v>265</v>
      </c>
      <c r="H80" s="3">
        <v>80</v>
      </c>
      <c r="I80" s="3">
        <v>1</v>
      </c>
      <c r="J80" s="3">
        <v>80</v>
      </c>
      <c r="K80" s="3">
        <v>40</v>
      </c>
      <c r="L80" s="25" t="str">
        <v>Crate (400 x 300 x 170) mm</v>
      </c>
      <c r="M80" s="3">
        <v>360</v>
      </c>
      <c r="N80" s="3">
        <v>260</v>
      </c>
      <c r="O80" s="3">
        <v>155</v>
      </c>
      <c r="P80" s="3">
        <v>2</v>
      </c>
      <c r="Q80" s="3">
        <v>3</v>
      </c>
      <c r="R80" s="3">
        <v>0</v>
      </c>
      <c r="S80" s="3">
        <v>6</v>
      </c>
      <c r="T80" s="3">
        <v>0</v>
      </c>
      <c r="U80" s="3">
        <v>0</v>
      </c>
      <c r="V80" s="3">
        <v>260</v>
      </c>
      <c r="W80" s="3">
        <v>360</v>
      </c>
      <c r="X80" s="3">
        <v>155</v>
      </c>
      <c r="Y80" s="3">
        <v>1</v>
      </c>
      <c r="Z80" s="3">
        <v>4</v>
      </c>
      <c r="AA80" s="3">
        <v>0</v>
      </c>
      <c r="AB80" s="3">
        <v>4</v>
      </c>
      <c r="AC80" s="3">
        <v>0</v>
      </c>
      <c r="AD80" s="3">
        <v>0</v>
      </c>
      <c r="AE80" s="3">
        <v>155</v>
      </c>
      <c r="AF80" s="3">
        <v>360</v>
      </c>
      <c r="AG80" s="3">
        <v>260</v>
      </c>
      <c r="AH80" s="3">
        <v>0</v>
      </c>
      <c r="AI80" s="3">
        <v>4</v>
      </c>
      <c r="AJ80" s="3">
        <v>0</v>
      </c>
      <c r="AK80" s="3">
        <v>0</v>
      </c>
      <c r="AL80" s="3">
        <v>0</v>
      </c>
      <c r="AM80" s="3">
        <v>0</v>
      </c>
      <c r="AN80" s="3">
        <v>155</v>
      </c>
      <c r="AO80" s="3">
        <v>260</v>
      </c>
      <c r="AP80" s="3">
        <v>360</v>
      </c>
      <c r="AQ80" s="3">
        <v>0</v>
      </c>
      <c r="AR80" s="3">
        <v>3</v>
      </c>
      <c r="AS80" s="3">
        <v>1</v>
      </c>
      <c r="AT80" s="3">
        <v>0</v>
      </c>
      <c r="AU80" s="3">
        <v>1</v>
      </c>
      <c r="AV80" s="3">
        <v>0</v>
      </c>
      <c r="AW80" s="3">
        <v>260</v>
      </c>
      <c r="AX80" s="3">
        <v>155</v>
      </c>
      <c r="AY80" s="3">
        <v>360</v>
      </c>
      <c r="AZ80" s="3">
        <v>1</v>
      </c>
      <c r="BA80" s="3">
        <v>2</v>
      </c>
      <c r="BB80" s="3">
        <v>1</v>
      </c>
      <c r="BC80" s="3">
        <v>2</v>
      </c>
      <c r="BD80" s="3">
        <v>1</v>
      </c>
      <c r="BE80" s="3">
        <v>2</v>
      </c>
      <c r="BF80" s="3">
        <v>360</v>
      </c>
      <c r="BG80" s="3">
        <v>155</v>
      </c>
      <c r="BH80" s="3">
        <v>260</v>
      </c>
      <c r="BI80" s="3">
        <v>2</v>
      </c>
      <c r="BJ80" s="3">
        <v>2</v>
      </c>
      <c r="BK80" s="3">
        <v>0</v>
      </c>
      <c r="BL80" s="3">
        <v>4</v>
      </c>
      <c r="BM80" s="3">
        <v>0</v>
      </c>
      <c r="BN80" s="3">
        <v>0</v>
      </c>
    </row>
    <row r="81" spans="1:66" x14ac:dyDescent="0.3">
      <c r="A81" s="2" t="str">
        <v>1</v>
      </c>
      <c r="B81" s="2">
        <v>10</v>
      </c>
      <c r="C81" s="2">
        <v>14007843</v>
      </c>
      <c r="D81" s="2" t="str">
        <v>DIN_BIN</v>
      </c>
      <c r="E81" s="3">
        <v>225</v>
      </c>
      <c r="F81" s="3">
        <v>70</v>
      </c>
      <c r="G81" s="3">
        <v>310</v>
      </c>
      <c r="H81" s="3">
        <v>192</v>
      </c>
      <c r="I81" s="3">
        <v>3</v>
      </c>
      <c r="J81" s="3">
        <v>576</v>
      </c>
      <c r="K81" s="3">
        <v>6</v>
      </c>
      <c r="L81" s="25" t="str">
        <v>Crate (400 x 300 x 170) mm</v>
      </c>
      <c r="M81" s="3">
        <v>360</v>
      </c>
      <c r="N81" s="3">
        <v>260</v>
      </c>
      <c r="O81" s="3">
        <v>155</v>
      </c>
      <c r="P81" s="3">
        <v>1</v>
      </c>
      <c r="Q81" s="3">
        <v>3</v>
      </c>
      <c r="R81" s="3">
        <v>0</v>
      </c>
      <c r="S81" s="3">
        <v>3</v>
      </c>
      <c r="T81" s="3">
        <v>0</v>
      </c>
      <c r="U81" s="3">
        <v>0</v>
      </c>
      <c r="V81" s="3">
        <v>260</v>
      </c>
      <c r="W81" s="3">
        <v>360</v>
      </c>
      <c r="X81" s="3">
        <v>155</v>
      </c>
      <c r="Y81" s="3">
        <v>1</v>
      </c>
      <c r="Z81" s="3">
        <v>4</v>
      </c>
      <c r="AA81" s="3">
        <v>0</v>
      </c>
      <c r="AB81" s="3">
        <v>4</v>
      </c>
      <c r="AC81" s="3">
        <v>0</v>
      </c>
      <c r="AD81" s="3">
        <v>0</v>
      </c>
      <c r="AE81" s="3">
        <v>155</v>
      </c>
      <c r="AF81" s="3">
        <v>360</v>
      </c>
      <c r="AG81" s="3">
        <v>260</v>
      </c>
      <c r="AH81" s="3">
        <v>0</v>
      </c>
      <c r="AI81" s="3">
        <v>4</v>
      </c>
      <c r="AJ81" s="3">
        <v>0</v>
      </c>
      <c r="AK81" s="3">
        <v>0</v>
      </c>
      <c r="AL81" s="3">
        <v>0</v>
      </c>
      <c r="AM81" s="3">
        <v>0</v>
      </c>
      <c r="AN81" s="3">
        <v>155</v>
      </c>
      <c r="AO81" s="3">
        <v>260</v>
      </c>
      <c r="AP81" s="3">
        <v>360</v>
      </c>
      <c r="AQ81" s="3">
        <v>0</v>
      </c>
      <c r="AR81" s="3">
        <v>3</v>
      </c>
      <c r="AS81" s="3">
        <v>1</v>
      </c>
      <c r="AT81" s="3">
        <v>0</v>
      </c>
      <c r="AU81" s="3">
        <v>1</v>
      </c>
      <c r="AV81" s="3">
        <v>0</v>
      </c>
      <c r="AW81" s="3">
        <v>260</v>
      </c>
      <c r="AX81" s="3">
        <v>155</v>
      </c>
      <c r="AY81" s="3">
        <v>360</v>
      </c>
      <c r="AZ81" s="3">
        <v>1</v>
      </c>
      <c r="BA81" s="3">
        <v>2</v>
      </c>
      <c r="BB81" s="3">
        <v>1</v>
      </c>
      <c r="BC81" s="3">
        <v>2</v>
      </c>
      <c r="BD81" s="3">
        <v>1</v>
      </c>
      <c r="BE81" s="3">
        <v>2</v>
      </c>
      <c r="BF81" s="3">
        <v>360</v>
      </c>
      <c r="BG81" s="3">
        <v>155</v>
      </c>
      <c r="BH81" s="3">
        <v>260</v>
      </c>
      <c r="BI81" s="3">
        <v>1</v>
      </c>
      <c r="BJ81" s="3">
        <v>2</v>
      </c>
      <c r="BK81" s="3">
        <v>0</v>
      </c>
      <c r="BL81" s="3">
        <v>2</v>
      </c>
      <c r="BM81" s="3">
        <v>0</v>
      </c>
      <c r="BN81" s="3">
        <v>0</v>
      </c>
    </row>
    <row r="82" spans="1:66" x14ac:dyDescent="0.3">
      <c r="A82" s="2" t="str">
        <v>1</v>
      </c>
      <c r="B82" s="2">
        <v>1</v>
      </c>
      <c r="C82" s="2">
        <v>14007834</v>
      </c>
      <c r="D82" s="2" t="str">
        <v>2.0_M_CENTER BEZEL PREMIUM ASSY</v>
      </c>
      <c r="E82" s="3">
        <v>274</v>
      </c>
      <c r="F82" s="3">
        <v>76</v>
      </c>
      <c r="G82" s="3">
        <v>620</v>
      </c>
      <c r="H82" s="3">
        <v>44</v>
      </c>
      <c r="I82" s="3">
        <v>1</v>
      </c>
      <c r="J82" s="3">
        <v>44</v>
      </c>
      <c r="K82" s="3">
        <v>80</v>
      </c>
      <c r="L82" s="25" t="str">
        <v>Crate (400 x 300 x 220) mm</v>
      </c>
      <c r="M82" s="3">
        <v>360</v>
      </c>
      <c r="N82" s="3">
        <v>260</v>
      </c>
      <c r="O82" s="3">
        <v>205</v>
      </c>
      <c r="P82" s="3">
        <v>1</v>
      </c>
      <c r="Q82" s="3">
        <v>3</v>
      </c>
      <c r="R82" s="3">
        <v>0</v>
      </c>
      <c r="S82" s="3">
        <v>3</v>
      </c>
      <c r="T82" s="3">
        <v>0</v>
      </c>
      <c r="U82" s="3">
        <v>0</v>
      </c>
      <c r="V82" s="3">
        <v>260</v>
      </c>
      <c r="W82" s="3">
        <v>360</v>
      </c>
      <c r="X82" s="3">
        <v>205</v>
      </c>
      <c r="Y82" s="3">
        <v>0</v>
      </c>
      <c r="Z82" s="3">
        <v>4</v>
      </c>
      <c r="AA82" s="3">
        <v>0</v>
      </c>
      <c r="AB82" s="3">
        <v>0</v>
      </c>
      <c r="AC82" s="3">
        <v>0</v>
      </c>
      <c r="AD82" s="3">
        <v>0</v>
      </c>
      <c r="AE82" s="3">
        <v>205</v>
      </c>
      <c r="AF82" s="3">
        <v>360</v>
      </c>
      <c r="AG82" s="3">
        <v>260</v>
      </c>
      <c r="AH82" s="3">
        <v>0</v>
      </c>
      <c r="AI82" s="3">
        <v>4</v>
      </c>
      <c r="AJ82" s="3">
        <v>0</v>
      </c>
      <c r="AK82" s="3">
        <v>0</v>
      </c>
      <c r="AL82" s="3">
        <v>0</v>
      </c>
      <c r="AM82" s="3">
        <v>0</v>
      </c>
      <c r="AN82" s="3">
        <v>205</v>
      </c>
      <c r="AO82" s="3">
        <v>260</v>
      </c>
      <c r="AP82" s="3">
        <v>360</v>
      </c>
      <c r="AQ82" s="3">
        <v>0</v>
      </c>
      <c r="AR82" s="3">
        <v>3</v>
      </c>
      <c r="AS82" s="3">
        <v>0</v>
      </c>
      <c r="AT82" s="3">
        <v>0</v>
      </c>
      <c r="AU82" s="3">
        <v>0</v>
      </c>
      <c r="AV82" s="3">
        <v>0</v>
      </c>
      <c r="AW82" s="3">
        <v>260</v>
      </c>
      <c r="AX82" s="3">
        <v>205</v>
      </c>
      <c r="AY82" s="3">
        <v>360</v>
      </c>
      <c r="AZ82" s="3">
        <v>0</v>
      </c>
      <c r="BA82" s="3">
        <v>2</v>
      </c>
      <c r="BB82" s="3">
        <v>0</v>
      </c>
      <c r="BC82" s="3">
        <v>0</v>
      </c>
      <c r="BD82" s="3">
        <v>0</v>
      </c>
      <c r="BE82" s="3">
        <v>0</v>
      </c>
      <c r="BF82" s="3">
        <v>360</v>
      </c>
      <c r="BG82" s="3">
        <v>205</v>
      </c>
      <c r="BH82" s="3">
        <v>260</v>
      </c>
      <c r="BI82" s="3">
        <v>1</v>
      </c>
      <c r="BJ82" s="3">
        <v>2</v>
      </c>
      <c r="BK82" s="3">
        <v>0</v>
      </c>
      <c r="BL82" s="3">
        <v>2</v>
      </c>
      <c r="BM82" s="3">
        <v>0</v>
      </c>
      <c r="BN82" s="3">
        <v>0</v>
      </c>
    </row>
    <row r="83" spans="1:66" x14ac:dyDescent="0.3">
      <c r="A83" s="2" t="str">
        <v>1</v>
      </c>
      <c r="B83" s="2">
        <v>2</v>
      </c>
      <c r="C83" s="2">
        <v>14007835</v>
      </c>
      <c r="D83" s="2" t="str">
        <v>SHROUD UPPER</v>
      </c>
      <c r="E83" s="3">
        <v>225</v>
      </c>
      <c r="F83" s="3">
        <v>125</v>
      </c>
      <c r="G83" s="3">
        <v>190</v>
      </c>
      <c r="H83" s="3">
        <v>96</v>
      </c>
      <c r="I83" s="3">
        <v>2</v>
      </c>
      <c r="J83" s="3">
        <v>192</v>
      </c>
      <c r="K83" s="3">
        <v>18</v>
      </c>
      <c r="L83" s="25" t="str">
        <v>Crate (400 x 300 x 220) mm</v>
      </c>
      <c r="M83" s="3">
        <v>360</v>
      </c>
      <c r="N83" s="3">
        <v>260</v>
      </c>
      <c r="O83" s="3">
        <v>205</v>
      </c>
      <c r="P83" s="3">
        <v>1</v>
      </c>
      <c r="Q83" s="3">
        <v>2</v>
      </c>
      <c r="R83" s="3">
        <v>1</v>
      </c>
      <c r="S83" s="3">
        <v>2</v>
      </c>
      <c r="T83" s="3">
        <v>1</v>
      </c>
      <c r="U83" s="3">
        <v>2</v>
      </c>
      <c r="V83" s="3">
        <v>260</v>
      </c>
      <c r="W83" s="3">
        <v>360</v>
      </c>
      <c r="X83" s="3">
        <v>205</v>
      </c>
      <c r="Y83" s="3">
        <v>1</v>
      </c>
      <c r="Z83" s="3">
        <v>2</v>
      </c>
      <c r="AA83" s="3">
        <v>1</v>
      </c>
      <c r="AB83" s="3">
        <v>2</v>
      </c>
      <c r="AC83" s="3">
        <v>1</v>
      </c>
      <c r="AD83" s="3">
        <v>2</v>
      </c>
      <c r="AE83" s="3">
        <v>205</v>
      </c>
      <c r="AF83" s="3">
        <v>360</v>
      </c>
      <c r="AG83" s="3">
        <v>260</v>
      </c>
      <c r="AH83" s="3">
        <v>0</v>
      </c>
      <c r="AI83" s="3">
        <v>2</v>
      </c>
      <c r="AJ83" s="3">
        <v>1</v>
      </c>
      <c r="AK83" s="3">
        <v>0</v>
      </c>
      <c r="AL83" s="3">
        <v>1</v>
      </c>
      <c r="AM83" s="3">
        <v>0</v>
      </c>
      <c r="AN83" s="3">
        <v>205</v>
      </c>
      <c r="AO83" s="3">
        <v>260</v>
      </c>
      <c r="AP83" s="3">
        <v>360</v>
      </c>
      <c r="AQ83" s="3">
        <v>0</v>
      </c>
      <c r="AR83" s="3">
        <v>2</v>
      </c>
      <c r="AS83" s="3">
        <v>1</v>
      </c>
      <c r="AT83" s="3">
        <v>0</v>
      </c>
      <c r="AU83" s="3">
        <v>1</v>
      </c>
      <c r="AV83" s="3">
        <v>0</v>
      </c>
      <c r="AW83" s="3">
        <v>260</v>
      </c>
      <c r="AX83" s="3">
        <v>205</v>
      </c>
      <c r="AY83" s="3">
        <v>360</v>
      </c>
      <c r="AZ83" s="3">
        <v>1</v>
      </c>
      <c r="BA83" s="3">
        <v>1</v>
      </c>
      <c r="BB83" s="3">
        <v>1</v>
      </c>
      <c r="BC83" s="3">
        <v>1</v>
      </c>
      <c r="BD83" s="3">
        <v>1</v>
      </c>
      <c r="BE83" s="3">
        <v>1</v>
      </c>
      <c r="BF83" s="3">
        <v>360</v>
      </c>
      <c r="BG83" s="3">
        <v>205</v>
      </c>
      <c r="BH83" s="3">
        <v>260</v>
      </c>
      <c r="BI83" s="3">
        <v>1</v>
      </c>
      <c r="BJ83" s="3">
        <v>1</v>
      </c>
      <c r="BK83" s="3">
        <v>1</v>
      </c>
      <c r="BL83" s="3">
        <v>1</v>
      </c>
      <c r="BM83" s="3">
        <v>1</v>
      </c>
      <c r="BN83" s="3">
        <v>1</v>
      </c>
    </row>
    <row r="84" spans="1:66" x14ac:dyDescent="0.3">
      <c r="A84" s="2" t="str">
        <v>1</v>
      </c>
      <c r="B84" s="2">
        <v>3</v>
      </c>
      <c r="C84" s="2">
        <v>14007836</v>
      </c>
      <c r="D84" s="2" t="str">
        <v>SHROUD LOWER</v>
      </c>
      <c r="E84" s="3">
        <v>435</v>
      </c>
      <c r="F84" s="3">
        <v>100</v>
      </c>
      <c r="G84" s="3">
        <v>210</v>
      </c>
      <c r="H84" s="3">
        <v>48</v>
      </c>
      <c r="I84" s="3">
        <v>1</v>
      </c>
      <c r="J84" s="3">
        <v>48</v>
      </c>
      <c r="K84" s="3">
        <v>75</v>
      </c>
      <c r="L84" s="25" t="str">
        <v>Crate (400 x 300 x 220) mm</v>
      </c>
      <c r="M84" s="3">
        <v>360</v>
      </c>
      <c r="N84" s="3">
        <v>260</v>
      </c>
      <c r="O84" s="3">
        <v>205</v>
      </c>
      <c r="P84" s="3">
        <v>0</v>
      </c>
      <c r="Q84" s="3">
        <v>2</v>
      </c>
      <c r="R84" s="3">
        <v>0</v>
      </c>
      <c r="S84" s="3">
        <v>0</v>
      </c>
      <c r="T84" s="3">
        <v>0</v>
      </c>
      <c r="U84" s="3">
        <v>0</v>
      </c>
      <c r="V84" s="3">
        <v>260</v>
      </c>
      <c r="W84" s="3">
        <v>360</v>
      </c>
      <c r="X84" s="3">
        <v>205</v>
      </c>
      <c r="Y84" s="3">
        <v>0</v>
      </c>
      <c r="Z84" s="3">
        <v>3</v>
      </c>
      <c r="AA84" s="3">
        <v>0</v>
      </c>
      <c r="AB84" s="3">
        <v>0</v>
      </c>
      <c r="AC84" s="3">
        <v>0</v>
      </c>
      <c r="AD84" s="3">
        <v>0</v>
      </c>
      <c r="AE84" s="3">
        <v>205</v>
      </c>
      <c r="AF84" s="3">
        <v>360</v>
      </c>
      <c r="AG84" s="3">
        <v>260</v>
      </c>
      <c r="AH84" s="3">
        <v>0</v>
      </c>
      <c r="AI84" s="3">
        <v>3</v>
      </c>
      <c r="AJ84" s="3">
        <v>1</v>
      </c>
      <c r="AK84" s="3">
        <v>0</v>
      </c>
      <c r="AL84" s="3">
        <v>1</v>
      </c>
      <c r="AM84" s="3">
        <v>0</v>
      </c>
      <c r="AN84" s="3">
        <v>205</v>
      </c>
      <c r="AO84" s="3">
        <v>260</v>
      </c>
      <c r="AP84" s="3">
        <v>360</v>
      </c>
      <c r="AQ84" s="3">
        <v>0</v>
      </c>
      <c r="AR84" s="3">
        <v>2</v>
      </c>
      <c r="AS84" s="3">
        <v>1</v>
      </c>
      <c r="AT84" s="3">
        <v>0</v>
      </c>
      <c r="AU84" s="3">
        <v>1</v>
      </c>
      <c r="AV84" s="3">
        <v>0</v>
      </c>
      <c r="AW84" s="3">
        <v>260</v>
      </c>
      <c r="AX84" s="3">
        <v>205</v>
      </c>
      <c r="AY84" s="3">
        <v>360</v>
      </c>
      <c r="AZ84" s="3">
        <v>0</v>
      </c>
      <c r="BA84" s="3">
        <v>1</v>
      </c>
      <c r="BB84" s="3">
        <v>1</v>
      </c>
      <c r="BC84" s="3">
        <v>0</v>
      </c>
      <c r="BD84" s="3">
        <v>1</v>
      </c>
      <c r="BE84" s="3">
        <v>0</v>
      </c>
      <c r="BF84" s="3">
        <v>360</v>
      </c>
      <c r="BG84" s="3">
        <v>205</v>
      </c>
      <c r="BH84" s="3">
        <v>260</v>
      </c>
      <c r="BI84" s="3">
        <v>0</v>
      </c>
      <c r="BJ84" s="3">
        <v>1</v>
      </c>
      <c r="BK84" s="3">
        <v>1</v>
      </c>
      <c r="BL84" s="3">
        <v>0</v>
      </c>
      <c r="BM84" s="3">
        <v>1</v>
      </c>
      <c r="BN84" s="3">
        <v>0</v>
      </c>
    </row>
    <row r="85" spans="1:66" x14ac:dyDescent="0.3">
      <c r="A85" s="2" t="str">
        <v>1</v>
      </c>
      <c r="B85" s="2">
        <v>4</v>
      </c>
      <c r="C85" s="2">
        <v>14007837</v>
      </c>
      <c r="D85" s="2" t="str">
        <v>CLUSTER BEZEL LOWER ASSY</v>
      </c>
      <c r="E85" s="3">
        <v>365</v>
      </c>
      <c r="F85" s="3">
        <v>63</v>
      </c>
      <c r="G85" s="3">
        <v>225</v>
      </c>
      <c r="H85" s="3">
        <v>96</v>
      </c>
      <c r="I85" s="3">
        <v>1</v>
      </c>
      <c r="J85" s="3">
        <v>96</v>
      </c>
      <c r="K85" s="3">
        <v>38</v>
      </c>
      <c r="L85" s="25" t="str">
        <v>Crate (400 x 300 x 220) mm</v>
      </c>
      <c r="M85" s="3">
        <v>360</v>
      </c>
      <c r="N85" s="3">
        <v>260</v>
      </c>
      <c r="O85" s="3">
        <v>205</v>
      </c>
      <c r="P85" s="3">
        <v>0</v>
      </c>
      <c r="Q85" s="3">
        <v>3</v>
      </c>
      <c r="R85" s="3">
        <v>0</v>
      </c>
      <c r="S85" s="3">
        <v>0</v>
      </c>
      <c r="T85" s="3">
        <v>0</v>
      </c>
      <c r="U85" s="3">
        <v>0</v>
      </c>
      <c r="V85" s="3">
        <v>260</v>
      </c>
      <c r="W85" s="3">
        <v>360</v>
      </c>
      <c r="X85" s="3">
        <v>205</v>
      </c>
      <c r="Y85" s="3">
        <v>0</v>
      </c>
      <c r="Z85" s="3">
        <v>5</v>
      </c>
      <c r="AA85" s="3">
        <v>0</v>
      </c>
      <c r="AB85" s="3">
        <v>0</v>
      </c>
      <c r="AC85" s="3">
        <v>0</v>
      </c>
      <c r="AD85" s="3">
        <v>0</v>
      </c>
      <c r="AE85" s="3">
        <v>205</v>
      </c>
      <c r="AF85" s="3">
        <v>360</v>
      </c>
      <c r="AG85" s="3">
        <v>260</v>
      </c>
      <c r="AH85" s="3">
        <v>0</v>
      </c>
      <c r="AI85" s="3">
        <v>5</v>
      </c>
      <c r="AJ85" s="3">
        <v>1</v>
      </c>
      <c r="AK85" s="3">
        <v>0</v>
      </c>
      <c r="AL85" s="3">
        <v>1</v>
      </c>
      <c r="AM85" s="3">
        <v>0</v>
      </c>
      <c r="AN85" s="3">
        <v>205</v>
      </c>
      <c r="AO85" s="3">
        <v>260</v>
      </c>
      <c r="AP85" s="3">
        <v>360</v>
      </c>
      <c r="AQ85" s="3">
        <v>0</v>
      </c>
      <c r="AR85" s="3">
        <v>3</v>
      </c>
      <c r="AS85" s="3">
        <v>1</v>
      </c>
      <c r="AT85" s="3">
        <v>0</v>
      </c>
      <c r="AU85" s="3">
        <v>1</v>
      </c>
      <c r="AV85" s="3">
        <v>0</v>
      </c>
      <c r="AW85" s="3">
        <v>260</v>
      </c>
      <c r="AX85" s="3">
        <v>205</v>
      </c>
      <c r="AY85" s="3">
        <v>360</v>
      </c>
      <c r="AZ85" s="3">
        <v>0</v>
      </c>
      <c r="BA85" s="3">
        <v>3</v>
      </c>
      <c r="BB85" s="3">
        <v>1</v>
      </c>
      <c r="BC85" s="3">
        <v>0</v>
      </c>
      <c r="BD85" s="3">
        <v>1</v>
      </c>
      <c r="BE85" s="3">
        <v>0</v>
      </c>
      <c r="BF85" s="3">
        <v>360</v>
      </c>
      <c r="BG85" s="3">
        <v>205</v>
      </c>
      <c r="BH85" s="3">
        <v>260</v>
      </c>
      <c r="BI85" s="3">
        <v>0</v>
      </c>
      <c r="BJ85" s="3">
        <v>3</v>
      </c>
      <c r="BK85" s="3">
        <v>1</v>
      </c>
      <c r="BL85" s="3">
        <v>0</v>
      </c>
      <c r="BM85" s="3">
        <v>1</v>
      </c>
      <c r="BN85" s="3">
        <v>0</v>
      </c>
    </row>
    <row r="86" spans="1:66" x14ac:dyDescent="0.3">
      <c r="A86" s="2" t="str">
        <v>1</v>
      </c>
      <c r="B86" s="2">
        <v>5</v>
      </c>
      <c r="C86" s="2">
        <v>14007838</v>
      </c>
      <c r="D86" s="2" t="str">
        <v>DRIVER SIDE BOOSTER COVER ASSY</v>
      </c>
      <c r="E86" s="3">
        <v>410</v>
      </c>
      <c r="F86" s="3">
        <v>280</v>
      </c>
      <c r="G86" s="3">
        <v>160</v>
      </c>
      <c r="H86" s="3">
        <v>16</v>
      </c>
      <c r="I86" s="3">
        <v>1</v>
      </c>
      <c r="J86" s="3">
        <v>16</v>
      </c>
      <c r="K86" s="3">
        <v>202</v>
      </c>
      <c r="L86" s="25" t="str">
        <v>Crate (400 x 300 x 220) mm</v>
      </c>
      <c r="M86" s="3">
        <v>360</v>
      </c>
      <c r="N86" s="3">
        <v>260</v>
      </c>
      <c r="O86" s="3">
        <v>205</v>
      </c>
      <c r="P86" s="3">
        <v>0</v>
      </c>
      <c r="Q86" s="3">
        <v>0</v>
      </c>
      <c r="R86" s="3">
        <v>1</v>
      </c>
      <c r="S86" s="3">
        <v>0</v>
      </c>
      <c r="T86" s="3">
        <v>1</v>
      </c>
      <c r="U86" s="3">
        <v>0</v>
      </c>
      <c r="V86" s="3">
        <v>260</v>
      </c>
      <c r="W86" s="3">
        <v>360</v>
      </c>
      <c r="X86" s="3">
        <v>205</v>
      </c>
      <c r="Y86" s="3">
        <v>0</v>
      </c>
      <c r="Z86" s="3">
        <v>1</v>
      </c>
      <c r="AA86" s="3">
        <v>1</v>
      </c>
      <c r="AB86" s="3">
        <v>0</v>
      </c>
      <c r="AC86" s="3">
        <v>1</v>
      </c>
      <c r="AD86" s="3">
        <v>0</v>
      </c>
      <c r="AE86" s="3">
        <v>205</v>
      </c>
      <c r="AF86" s="3">
        <v>360</v>
      </c>
      <c r="AG86" s="3">
        <v>260</v>
      </c>
      <c r="AH86" s="3">
        <v>0</v>
      </c>
      <c r="AI86" s="3">
        <v>1</v>
      </c>
      <c r="AJ86" s="3">
        <v>1</v>
      </c>
      <c r="AK86" s="3">
        <v>0</v>
      </c>
      <c r="AL86" s="3">
        <v>1</v>
      </c>
      <c r="AM86" s="3">
        <v>0</v>
      </c>
      <c r="AN86" s="3">
        <v>205</v>
      </c>
      <c r="AO86" s="3">
        <v>260</v>
      </c>
      <c r="AP86" s="3">
        <v>360</v>
      </c>
      <c r="AQ86" s="3">
        <v>0</v>
      </c>
      <c r="AR86" s="3">
        <v>0</v>
      </c>
      <c r="AS86" s="3">
        <v>2</v>
      </c>
      <c r="AT86" s="3">
        <v>0</v>
      </c>
      <c r="AU86" s="3">
        <v>2</v>
      </c>
      <c r="AV86" s="3">
        <v>0</v>
      </c>
      <c r="AW86" s="3">
        <v>260</v>
      </c>
      <c r="AX86" s="3">
        <v>205</v>
      </c>
      <c r="AY86" s="3">
        <v>360</v>
      </c>
      <c r="AZ86" s="3">
        <v>0</v>
      </c>
      <c r="BA86" s="3">
        <v>0</v>
      </c>
      <c r="BB86" s="3">
        <v>2</v>
      </c>
      <c r="BC86" s="3">
        <v>0</v>
      </c>
      <c r="BD86" s="3">
        <v>2</v>
      </c>
      <c r="BE86" s="3">
        <v>0</v>
      </c>
      <c r="BF86" s="3">
        <v>360</v>
      </c>
      <c r="BG86" s="3">
        <v>205</v>
      </c>
      <c r="BH86" s="3">
        <v>260</v>
      </c>
      <c r="BI86" s="3">
        <v>0</v>
      </c>
      <c r="BJ86" s="3">
        <v>0</v>
      </c>
      <c r="BK86" s="3">
        <v>1</v>
      </c>
      <c r="BL86" s="3">
        <v>0</v>
      </c>
      <c r="BM86" s="3">
        <v>1</v>
      </c>
      <c r="BN86" s="3">
        <v>0</v>
      </c>
    </row>
    <row r="87" spans="1:66" x14ac:dyDescent="0.3">
      <c r="A87" s="2" t="str">
        <v>1</v>
      </c>
      <c r="B87" s="2">
        <v>6</v>
      </c>
      <c r="C87" s="2">
        <v>14007839</v>
      </c>
      <c r="D87" s="2" t="str">
        <v>PASSENGER SIDE KNEE COVER RHD ASSY</v>
      </c>
      <c r="E87" s="3">
        <v>380</v>
      </c>
      <c r="F87" s="3">
        <v>110</v>
      </c>
      <c r="G87" s="3">
        <v>295</v>
      </c>
      <c r="H87" s="3">
        <v>64</v>
      </c>
      <c r="I87" s="3">
        <v>1</v>
      </c>
      <c r="J87" s="3">
        <v>64</v>
      </c>
      <c r="K87" s="3">
        <v>50</v>
      </c>
      <c r="L87" s="25" t="str">
        <v>Crate (400 x 300 x 220) mm</v>
      </c>
      <c r="M87" s="3">
        <v>360</v>
      </c>
      <c r="N87" s="3">
        <v>260</v>
      </c>
      <c r="O87" s="3">
        <v>205</v>
      </c>
      <c r="P87" s="3">
        <v>0</v>
      </c>
      <c r="Q87" s="3">
        <v>2</v>
      </c>
      <c r="R87" s="3">
        <v>0</v>
      </c>
      <c r="S87" s="3">
        <v>0</v>
      </c>
      <c r="T87" s="3">
        <v>0</v>
      </c>
      <c r="U87" s="3">
        <v>0</v>
      </c>
      <c r="V87" s="3">
        <v>260</v>
      </c>
      <c r="W87" s="3">
        <v>360</v>
      </c>
      <c r="X87" s="3">
        <v>205</v>
      </c>
      <c r="Y87" s="3">
        <v>0</v>
      </c>
      <c r="Z87" s="3">
        <v>3</v>
      </c>
      <c r="AA87" s="3">
        <v>0</v>
      </c>
      <c r="AB87" s="3">
        <v>0</v>
      </c>
      <c r="AC87" s="3">
        <v>0</v>
      </c>
      <c r="AD87" s="3">
        <v>0</v>
      </c>
      <c r="AE87" s="3">
        <v>205</v>
      </c>
      <c r="AF87" s="3">
        <v>360</v>
      </c>
      <c r="AG87" s="3">
        <v>260</v>
      </c>
      <c r="AH87" s="3">
        <v>0</v>
      </c>
      <c r="AI87" s="3">
        <v>3</v>
      </c>
      <c r="AJ87" s="3">
        <v>0</v>
      </c>
      <c r="AK87" s="3">
        <v>0</v>
      </c>
      <c r="AL87" s="3">
        <v>0</v>
      </c>
      <c r="AM87" s="3">
        <v>0</v>
      </c>
      <c r="AN87" s="3">
        <v>205</v>
      </c>
      <c r="AO87" s="3">
        <v>260</v>
      </c>
      <c r="AP87" s="3">
        <v>360</v>
      </c>
      <c r="AQ87" s="3">
        <v>0</v>
      </c>
      <c r="AR87" s="3">
        <v>2</v>
      </c>
      <c r="AS87" s="3">
        <v>1</v>
      </c>
      <c r="AT87" s="3">
        <v>0</v>
      </c>
      <c r="AU87" s="3">
        <v>1</v>
      </c>
      <c r="AV87" s="3">
        <v>0</v>
      </c>
      <c r="AW87" s="3">
        <v>260</v>
      </c>
      <c r="AX87" s="3">
        <v>205</v>
      </c>
      <c r="AY87" s="3">
        <v>360</v>
      </c>
      <c r="AZ87" s="3">
        <v>0</v>
      </c>
      <c r="BA87" s="3">
        <v>1</v>
      </c>
      <c r="BB87" s="3">
        <v>1</v>
      </c>
      <c r="BC87" s="3">
        <v>0</v>
      </c>
      <c r="BD87" s="3">
        <v>1</v>
      </c>
      <c r="BE87" s="3">
        <v>0</v>
      </c>
      <c r="BF87" s="3">
        <v>360</v>
      </c>
      <c r="BG87" s="3">
        <v>205</v>
      </c>
      <c r="BH87" s="3">
        <v>260</v>
      </c>
      <c r="BI87" s="3">
        <v>0</v>
      </c>
      <c r="BJ87" s="3">
        <v>1</v>
      </c>
      <c r="BK87" s="3">
        <v>0</v>
      </c>
      <c r="BL87" s="3">
        <v>0</v>
      </c>
      <c r="BM87" s="3">
        <v>0</v>
      </c>
      <c r="BN87" s="3">
        <v>0</v>
      </c>
    </row>
    <row r="88" spans="1:66" x14ac:dyDescent="0.3">
      <c r="A88" s="2" t="str">
        <v>1</v>
      </c>
      <c r="B88" s="2">
        <v>7</v>
      </c>
      <c r="C88" s="2">
        <v>14007840</v>
      </c>
      <c r="D88" s="2" t="str">
        <v>END CAP LH ASSY</v>
      </c>
      <c r="E88" s="3">
        <v>130</v>
      </c>
      <c r="F88" s="3">
        <v>50</v>
      </c>
      <c r="G88" s="3">
        <v>385</v>
      </c>
      <c r="H88" s="3">
        <v>192</v>
      </c>
      <c r="I88" s="3">
        <v>1</v>
      </c>
      <c r="J88" s="3">
        <v>192</v>
      </c>
      <c r="K88" s="3">
        <v>18</v>
      </c>
      <c r="L88" s="25" t="str">
        <v>Crate (400 x 300 x 220) mm</v>
      </c>
      <c r="M88" s="3">
        <v>360</v>
      </c>
      <c r="N88" s="3">
        <v>260</v>
      </c>
      <c r="O88" s="3">
        <v>205</v>
      </c>
      <c r="P88" s="3">
        <v>2</v>
      </c>
      <c r="Q88" s="3">
        <v>4</v>
      </c>
      <c r="R88" s="3">
        <v>0</v>
      </c>
      <c r="S88" s="3">
        <v>8</v>
      </c>
      <c r="T88" s="3">
        <v>0</v>
      </c>
      <c r="U88" s="3">
        <v>0</v>
      </c>
      <c r="V88" s="3">
        <v>260</v>
      </c>
      <c r="W88" s="3">
        <v>360</v>
      </c>
      <c r="X88" s="3">
        <v>205</v>
      </c>
      <c r="Y88" s="3">
        <v>1</v>
      </c>
      <c r="Z88" s="3">
        <v>6</v>
      </c>
      <c r="AA88" s="3">
        <v>0</v>
      </c>
      <c r="AB88" s="3">
        <v>6</v>
      </c>
      <c r="AC88" s="3">
        <v>0</v>
      </c>
      <c r="AD88" s="3">
        <v>0</v>
      </c>
      <c r="AE88" s="3">
        <v>205</v>
      </c>
      <c r="AF88" s="3">
        <v>360</v>
      </c>
      <c r="AG88" s="3">
        <v>260</v>
      </c>
      <c r="AH88" s="3">
        <v>1</v>
      </c>
      <c r="AI88" s="3">
        <v>6</v>
      </c>
      <c r="AJ88" s="3">
        <v>0</v>
      </c>
      <c r="AK88" s="3">
        <v>6</v>
      </c>
      <c r="AL88" s="3">
        <v>0</v>
      </c>
      <c r="AM88" s="3">
        <v>0</v>
      </c>
      <c r="AN88" s="3">
        <v>205</v>
      </c>
      <c r="AO88" s="3">
        <v>260</v>
      </c>
      <c r="AP88" s="3">
        <v>360</v>
      </c>
      <c r="AQ88" s="3">
        <v>1</v>
      </c>
      <c r="AR88" s="3">
        <v>4</v>
      </c>
      <c r="AS88" s="3">
        <v>0</v>
      </c>
      <c r="AT88" s="3">
        <v>4</v>
      </c>
      <c r="AU88" s="3">
        <v>0</v>
      </c>
      <c r="AV88" s="3">
        <v>0</v>
      </c>
      <c r="AW88" s="3">
        <v>260</v>
      </c>
      <c r="AX88" s="3">
        <v>205</v>
      </c>
      <c r="AY88" s="3">
        <v>360</v>
      </c>
      <c r="AZ88" s="3">
        <v>1</v>
      </c>
      <c r="BA88" s="3">
        <v>3</v>
      </c>
      <c r="BB88" s="3">
        <v>0</v>
      </c>
      <c r="BC88" s="3">
        <v>3</v>
      </c>
      <c r="BD88" s="3">
        <v>0</v>
      </c>
      <c r="BE88" s="3">
        <v>0</v>
      </c>
      <c r="BF88" s="3">
        <v>360</v>
      </c>
      <c r="BG88" s="3">
        <v>205</v>
      </c>
      <c r="BH88" s="3">
        <v>260</v>
      </c>
      <c r="BI88" s="3">
        <v>2</v>
      </c>
      <c r="BJ88" s="3">
        <v>3</v>
      </c>
      <c r="BK88" s="3">
        <v>0</v>
      </c>
      <c r="BL88" s="3">
        <v>6</v>
      </c>
      <c r="BM88" s="3">
        <v>0</v>
      </c>
      <c r="BN88" s="3">
        <v>0</v>
      </c>
    </row>
    <row r="89" spans="1:66" x14ac:dyDescent="0.3">
      <c r="A89" s="2" t="str">
        <v>1</v>
      </c>
      <c r="B89" s="2">
        <v>8</v>
      </c>
      <c r="C89" s="2">
        <v>14007841</v>
      </c>
      <c r="D89" s="2" t="str">
        <v>END CAP RH ASSY</v>
      </c>
      <c r="E89" s="3">
        <v>130</v>
      </c>
      <c r="F89" s="3">
        <v>50</v>
      </c>
      <c r="G89" s="3">
        <v>385</v>
      </c>
      <c r="H89" s="3">
        <v>192</v>
      </c>
      <c r="I89" s="3">
        <v>1</v>
      </c>
      <c r="J89" s="3">
        <v>192</v>
      </c>
      <c r="K89" s="3">
        <v>18</v>
      </c>
      <c r="L89" s="25" t="str">
        <v>Crate (400 x 300 x 220) mm</v>
      </c>
      <c r="M89" s="3">
        <v>360</v>
      </c>
      <c r="N89" s="3">
        <v>260</v>
      </c>
      <c r="O89" s="3">
        <v>205</v>
      </c>
      <c r="P89" s="3">
        <v>2</v>
      </c>
      <c r="Q89" s="3">
        <v>4</v>
      </c>
      <c r="R89" s="3">
        <v>0</v>
      </c>
      <c r="S89" s="3">
        <v>8</v>
      </c>
      <c r="T89" s="3">
        <v>0</v>
      </c>
      <c r="U89" s="3">
        <v>0</v>
      </c>
      <c r="V89" s="3">
        <v>260</v>
      </c>
      <c r="W89" s="3">
        <v>360</v>
      </c>
      <c r="X89" s="3">
        <v>205</v>
      </c>
      <c r="Y89" s="3">
        <v>1</v>
      </c>
      <c r="Z89" s="3">
        <v>6</v>
      </c>
      <c r="AA89" s="3">
        <v>0</v>
      </c>
      <c r="AB89" s="3">
        <v>6</v>
      </c>
      <c r="AC89" s="3">
        <v>0</v>
      </c>
      <c r="AD89" s="3">
        <v>0</v>
      </c>
      <c r="AE89" s="3">
        <v>205</v>
      </c>
      <c r="AF89" s="3">
        <v>360</v>
      </c>
      <c r="AG89" s="3">
        <v>260</v>
      </c>
      <c r="AH89" s="3">
        <v>1</v>
      </c>
      <c r="AI89" s="3">
        <v>6</v>
      </c>
      <c r="AJ89" s="3">
        <v>0</v>
      </c>
      <c r="AK89" s="3">
        <v>6</v>
      </c>
      <c r="AL89" s="3">
        <v>0</v>
      </c>
      <c r="AM89" s="3">
        <v>0</v>
      </c>
      <c r="AN89" s="3">
        <v>205</v>
      </c>
      <c r="AO89" s="3">
        <v>260</v>
      </c>
      <c r="AP89" s="3">
        <v>360</v>
      </c>
      <c r="AQ89" s="3">
        <v>1</v>
      </c>
      <c r="AR89" s="3">
        <v>4</v>
      </c>
      <c r="AS89" s="3">
        <v>0</v>
      </c>
      <c r="AT89" s="3">
        <v>4</v>
      </c>
      <c r="AU89" s="3">
        <v>0</v>
      </c>
      <c r="AV89" s="3">
        <v>0</v>
      </c>
      <c r="AW89" s="3">
        <v>260</v>
      </c>
      <c r="AX89" s="3">
        <v>205</v>
      </c>
      <c r="AY89" s="3">
        <v>360</v>
      </c>
      <c r="AZ89" s="3">
        <v>1</v>
      </c>
      <c r="BA89" s="3">
        <v>3</v>
      </c>
      <c r="BB89" s="3">
        <v>0</v>
      </c>
      <c r="BC89" s="3">
        <v>3</v>
      </c>
      <c r="BD89" s="3">
        <v>0</v>
      </c>
      <c r="BE89" s="3">
        <v>0</v>
      </c>
      <c r="BF89" s="3">
        <v>360</v>
      </c>
      <c r="BG89" s="3">
        <v>205</v>
      </c>
      <c r="BH89" s="3">
        <v>260</v>
      </c>
      <c r="BI89" s="3">
        <v>2</v>
      </c>
      <c r="BJ89" s="3">
        <v>3</v>
      </c>
      <c r="BK89" s="3">
        <v>0</v>
      </c>
      <c r="BL89" s="3">
        <v>6</v>
      </c>
      <c r="BM89" s="3">
        <v>0</v>
      </c>
      <c r="BN89" s="3">
        <v>0</v>
      </c>
    </row>
    <row r="90" spans="1:66" x14ac:dyDescent="0.3">
      <c r="A90" s="2" t="str">
        <v>1</v>
      </c>
      <c r="B90" s="2">
        <v>9</v>
      </c>
      <c r="C90" s="2">
        <v>14007842</v>
      </c>
      <c r="D90" s="2" t="str">
        <v>DRIVER SIDE KNEE COVER RHD ASSY</v>
      </c>
      <c r="E90" s="3">
        <v>170</v>
      </c>
      <c r="F90" s="3">
        <v>70</v>
      </c>
      <c r="G90" s="3">
        <v>265</v>
      </c>
      <c r="H90" s="3">
        <v>80</v>
      </c>
      <c r="I90" s="3">
        <v>1</v>
      </c>
      <c r="J90" s="3">
        <v>80</v>
      </c>
      <c r="K90" s="3">
        <v>40</v>
      </c>
      <c r="L90" s="25" t="str">
        <v>Crate (400 x 300 x 220) mm</v>
      </c>
      <c r="M90" s="3">
        <v>360</v>
      </c>
      <c r="N90" s="3">
        <v>260</v>
      </c>
      <c r="O90" s="3">
        <v>205</v>
      </c>
      <c r="P90" s="3">
        <v>2</v>
      </c>
      <c r="Q90" s="3">
        <v>3</v>
      </c>
      <c r="R90" s="3">
        <v>0</v>
      </c>
      <c r="S90" s="3">
        <v>6</v>
      </c>
      <c r="T90" s="3">
        <v>0</v>
      </c>
      <c r="U90" s="3">
        <v>0</v>
      </c>
      <c r="V90" s="3">
        <v>260</v>
      </c>
      <c r="W90" s="3">
        <v>360</v>
      </c>
      <c r="X90" s="3">
        <v>205</v>
      </c>
      <c r="Y90" s="3">
        <v>1</v>
      </c>
      <c r="Z90" s="3">
        <v>4</v>
      </c>
      <c r="AA90" s="3">
        <v>0</v>
      </c>
      <c r="AB90" s="3">
        <v>4</v>
      </c>
      <c r="AC90" s="3">
        <v>0</v>
      </c>
      <c r="AD90" s="3">
        <v>0</v>
      </c>
      <c r="AE90" s="3">
        <v>205</v>
      </c>
      <c r="AF90" s="3">
        <v>360</v>
      </c>
      <c r="AG90" s="3">
        <v>260</v>
      </c>
      <c r="AH90" s="3">
        <v>1</v>
      </c>
      <c r="AI90" s="3">
        <v>4</v>
      </c>
      <c r="AJ90" s="3">
        <v>0</v>
      </c>
      <c r="AK90" s="3">
        <v>4</v>
      </c>
      <c r="AL90" s="3">
        <v>0</v>
      </c>
      <c r="AM90" s="3">
        <v>0</v>
      </c>
      <c r="AN90" s="3">
        <v>205</v>
      </c>
      <c r="AO90" s="3">
        <v>260</v>
      </c>
      <c r="AP90" s="3">
        <v>360</v>
      </c>
      <c r="AQ90" s="3">
        <v>1</v>
      </c>
      <c r="AR90" s="3">
        <v>3</v>
      </c>
      <c r="AS90" s="3">
        <v>1</v>
      </c>
      <c r="AT90" s="3">
        <v>3</v>
      </c>
      <c r="AU90" s="3">
        <v>1</v>
      </c>
      <c r="AV90" s="3">
        <v>3</v>
      </c>
      <c r="AW90" s="3">
        <v>260</v>
      </c>
      <c r="AX90" s="3">
        <v>205</v>
      </c>
      <c r="AY90" s="3">
        <v>360</v>
      </c>
      <c r="AZ90" s="3">
        <v>1</v>
      </c>
      <c r="BA90" s="3">
        <v>2</v>
      </c>
      <c r="BB90" s="3">
        <v>1</v>
      </c>
      <c r="BC90" s="3">
        <v>2</v>
      </c>
      <c r="BD90" s="3">
        <v>1</v>
      </c>
      <c r="BE90" s="3">
        <v>2</v>
      </c>
      <c r="BF90" s="3">
        <v>360</v>
      </c>
      <c r="BG90" s="3">
        <v>205</v>
      </c>
      <c r="BH90" s="3">
        <v>260</v>
      </c>
      <c r="BI90" s="3">
        <v>2</v>
      </c>
      <c r="BJ90" s="3">
        <v>2</v>
      </c>
      <c r="BK90" s="3">
        <v>0</v>
      </c>
      <c r="BL90" s="3">
        <v>4</v>
      </c>
      <c r="BM90" s="3">
        <v>0</v>
      </c>
      <c r="BN90" s="3">
        <v>0</v>
      </c>
    </row>
    <row r="91" spans="1:66" x14ac:dyDescent="0.3">
      <c r="A91" s="2" t="str">
        <v>1</v>
      </c>
      <c r="B91" s="2">
        <v>10</v>
      </c>
      <c r="C91" s="2">
        <v>14007843</v>
      </c>
      <c r="D91" s="2" t="str">
        <v>DIN_BIN</v>
      </c>
      <c r="E91" s="3">
        <v>225</v>
      </c>
      <c r="F91" s="3">
        <v>70</v>
      </c>
      <c r="G91" s="3">
        <v>310</v>
      </c>
      <c r="H91" s="3">
        <v>192</v>
      </c>
      <c r="I91" s="3">
        <v>3</v>
      </c>
      <c r="J91" s="3">
        <v>576</v>
      </c>
      <c r="K91" s="3">
        <v>6</v>
      </c>
      <c r="L91" s="25" t="str">
        <v>Crate (400 x 300 x 220) mm</v>
      </c>
      <c r="M91" s="3">
        <v>360</v>
      </c>
      <c r="N91" s="3">
        <v>260</v>
      </c>
      <c r="O91" s="3">
        <v>205</v>
      </c>
      <c r="P91" s="3">
        <v>1</v>
      </c>
      <c r="Q91" s="3">
        <v>3</v>
      </c>
      <c r="R91" s="3">
        <v>0</v>
      </c>
      <c r="S91" s="3">
        <v>3</v>
      </c>
      <c r="T91" s="3">
        <v>0</v>
      </c>
      <c r="U91" s="3">
        <v>0</v>
      </c>
      <c r="V91" s="3">
        <v>260</v>
      </c>
      <c r="W91" s="3">
        <v>360</v>
      </c>
      <c r="X91" s="3">
        <v>205</v>
      </c>
      <c r="Y91" s="3">
        <v>1</v>
      </c>
      <c r="Z91" s="3">
        <v>4</v>
      </c>
      <c r="AA91" s="3">
        <v>0</v>
      </c>
      <c r="AB91" s="3">
        <v>4</v>
      </c>
      <c r="AC91" s="3">
        <v>0</v>
      </c>
      <c r="AD91" s="3">
        <v>0</v>
      </c>
      <c r="AE91" s="3">
        <v>205</v>
      </c>
      <c r="AF91" s="3">
        <v>360</v>
      </c>
      <c r="AG91" s="3">
        <v>260</v>
      </c>
      <c r="AH91" s="3">
        <v>0</v>
      </c>
      <c r="AI91" s="3">
        <v>4</v>
      </c>
      <c r="AJ91" s="3">
        <v>0</v>
      </c>
      <c r="AK91" s="3">
        <v>0</v>
      </c>
      <c r="AL91" s="3">
        <v>0</v>
      </c>
      <c r="AM91" s="3">
        <v>0</v>
      </c>
      <c r="AN91" s="3">
        <v>205</v>
      </c>
      <c r="AO91" s="3">
        <v>260</v>
      </c>
      <c r="AP91" s="3">
        <v>360</v>
      </c>
      <c r="AQ91" s="3">
        <v>0</v>
      </c>
      <c r="AR91" s="3">
        <v>3</v>
      </c>
      <c r="AS91" s="3">
        <v>1</v>
      </c>
      <c r="AT91" s="3">
        <v>0</v>
      </c>
      <c r="AU91" s="3">
        <v>1</v>
      </c>
      <c r="AV91" s="3">
        <v>0</v>
      </c>
      <c r="AW91" s="3">
        <v>260</v>
      </c>
      <c r="AX91" s="3">
        <v>205</v>
      </c>
      <c r="AY91" s="3">
        <v>360</v>
      </c>
      <c r="AZ91" s="3">
        <v>1</v>
      </c>
      <c r="BA91" s="3">
        <v>2</v>
      </c>
      <c r="BB91" s="3">
        <v>1</v>
      </c>
      <c r="BC91" s="3">
        <v>2</v>
      </c>
      <c r="BD91" s="3">
        <v>1</v>
      </c>
      <c r="BE91" s="3">
        <v>2</v>
      </c>
      <c r="BF91" s="3">
        <v>360</v>
      </c>
      <c r="BG91" s="3">
        <v>205</v>
      </c>
      <c r="BH91" s="3">
        <v>260</v>
      </c>
      <c r="BI91" s="3">
        <v>1</v>
      </c>
      <c r="BJ91" s="3">
        <v>2</v>
      </c>
      <c r="BK91" s="3">
        <v>0</v>
      </c>
      <c r="BL91" s="3">
        <v>2</v>
      </c>
      <c r="BM91" s="3">
        <v>0</v>
      </c>
      <c r="BN91" s="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1A92E-F378-438D-8F83-9C739F34FA6A}">
  <dimension ref="A1:CM65"/>
  <sheetViews>
    <sheetView zoomScale="102" workbookViewId="0">
      <selection activeCell="C18" sqref="C18"/>
    </sheetView>
  </sheetViews>
  <sheetFormatPr defaultRowHeight="14.4" x14ac:dyDescent="0.3"/>
  <cols>
    <col min="1" max="1" width="34.88671875" style="5" bestFit="1" customWidth="1"/>
    <col min="2" max="91" width="15.77734375" style="11" customWidth="1"/>
    <col min="92" max="16384" width="8.88671875" style="5"/>
  </cols>
  <sheetData>
    <row r="1" spans="1:91" ht="15" thickBot="1" x14ac:dyDescent="0.35">
      <c r="A1" s="5" t="str" cm="1">
        <f t="array" ref="A1:CM65">TRANSPOSE(Summary!B1:BN91)</f>
        <v>Sr No</v>
      </c>
      <c r="B1" s="40">
        <v>1</v>
      </c>
      <c r="C1" s="41">
        <v>2</v>
      </c>
      <c r="D1" s="41">
        <v>3</v>
      </c>
      <c r="E1" s="41">
        <v>4</v>
      </c>
      <c r="F1" s="41">
        <v>5</v>
      </c>
      <c r="G1" s="41">
        <v>6</v>
      </c>
      <c r="H1" s="41">
        <v>7</v>
      </c>
      <c r="I1" s="41">
        <v>8</v>
      </c>
      <c r="J1" s="41">
        <v>9</v>
      </c>
      <c r="K1" s="42">
        <v>10</v>
      </c>
      <c r="L1" s="40">
        <v>1</v>
      </c>
      <c r="M1" s="41">
        <v>2</v>
      </c>
      <c r="N1" s="41">
        <v>3</v>
      </c>
      <c r="O1" s="41">
        <v>4</v>
      </c>
      <c r="P1" s="41">
        <v>5</v>
      </c>
      <c r="Q1" s="41">
        <v>6</v>
      </c>
      <c r="R1" s="41">
        <v>7</v>
      </c>
      <c r="S1" s="41">
        <v>8</v>
      </c>
      <c r="T1" s="41">
        <v>9</v>
      </c>
      <c r="U1" s="42">
        <v>10</v>
      </c>
      <c r="V1" s="40">
        <v>1</v>
      </c>
      <c r="W1" s="41">
        <v>2</v>
      </c>
      <c r="X1" s="41">
        <v>3</v>
      </c>
      <c r="Y1" s="41">
        <v>4</v>
      </c>
      <c r="Z1" s="41">
        <v>5</v>
      </c>
      <c r="AA1" s="41">
        <v>6</v>
      </c>
      <c r="AB1" s="41">
        <v>7</v>
      </c>
      <c r="AC1" s="41">
        <v>8</v>
      </c>
      <c r="AD1" s="41">
        <v>9</v>
      </c>
      <c r="AE1" s="42">
        <v>10</v>
      </c>
      <c r="AF1" s="40">
        <v>1</v>
      </c>
      <c r="AG1" s="41">
        <v>2</v>
      </c>
      <c r="AH1" s="41">
        <v>3</v>
      </c>
      <c r="AI1" s="41">
        <v>4</v>
      </c>
      <c r="AJ1" s="41">
        <v>5</v>
      </c>
      <c r="AK1" s="41">
        <v>6</v>
      </c>
      <c r="AL1" s="41">
        <v>7</v>
      </c>
      <c r="AM1" s="41">
        <v>8</v>
      </c>
      <c r="AN1" s="41">
        <v>9</v>
      </c>
      <c r="AO1" s="42">
        <v>10</v>
      </c>
      <c r="AP1" s="40">
        <v>1</v>
      </c>
      <c r="AQ1" s="41">
        <v>2</v>
      </c>
      <c r="AR1" s="41">
        <v>3</v>
      </c>
      <c r="AS1" s="41">
        <v>4</v>
      </c>
      <c r="AT1" s="41">
        <v>5</v>
      </c>
      <c r="AU1" s="41">
        <v>6</v>
      </c>
      <c r="AV1" s="41">
        <v>7</v>
      </c>
      <c r="AW1" s="41">
        <v>8</v>
      </c>
      <c r="AX1" s="41">
        <v>9</v>
      </c>
      <c r="AY1" s="42">
        <v>10</v>
      </c>
      <c r="AZ1" s="40">
        <v>1</v>
      </c>
      <c r="BA1" s="41">
        <v>2</v>
      </c>
      <c r="BB1" s="41">
        <v>3</v>
      </c>
      <c r="BC1" s="41">
        <v>4</v>
      </c>
      <c r="BD1" s="41">
        <v>5</v>
      </c>
      <c r="BE1" s="41">
        <v>6</v>
      </c>
      <c r="BF1" s="41">
        <v>7</v>
      </c>
      <c r="BG1" s="41">
        <v>8</v>
      </c>
      <c r="BH1" s="41">
        <v>9</v>
      </c>
      <c r="BI1" s="42">
        <v>10</v>
      </c>
      <c r="BJ1" s="40">
        <v>1</v>
      </c>
      <c r="BK1" s="41">
        <v>2</v>
      </c>
      <c r="BL1" s="41">
        <v>3</v>
      </c>
      <c r="BM1" s="41">
        <v>4</v>
      </c>
      <c r="BN1" s="41">
        <v>5</v>
      </c>
      <c r="BO1" s="41">
        <v>6</v>
      </c>
      <c r="BP1" s="41">
        <v>7</v>
      </c>
      <c r="BQ1" s="41">
        <v>8</v>
      </c>
      <c r="BR1" s="41">
        <v>9</v>
      </c>
      <c r="BS1" s="42">
        <v>10</v>
      </c>
      <c r="BT1" s="40">
        <v>1</v>
      </c>
      <c r="BU1" s="41">
        <v>2</v>
      </c>
      <c r="BV1" s="41">
        <v>3</v>
      </c>
      <c r="BW1" s="41">
        <v>4</v>
      </c>
      <c r="BX1" s="41">
        <v>5</v>
      </c>
      <c r="BY1" s="41">
        <v>6</v>
      </c>
      <c r="BZ1" s="41">
        <v>7</v>
      </c>
      <c r="CA1" s="41">
        <v>8</v>
      </c>
      <c r="CB1" s="41">
        <v>9</v>
      </c>
      <c r="CC1" s="42">
        <v>10</v>
      </c>
      <c r="CD1" s="40">
        <v>1</v>
      </c>
      <c r="CE1" s="41">
        <v>2</v>
      </c>
      <c r="CF1" s="41">
        <v>3</v>
      </c>
      <c r="CG1" s="41">
        <v>4</v>
      </c>
      <c r="CH1" s="41">
        <v>5</v>
      </c>
      <c r="CI1" s="41">
        <v>6</v>
      </c>
      <c r="CJ1" s="41">
        <v>7</v>
      </c>
      <c r="CK1" s="41">
        <v>8</v>
      </c>
      <c r="CL1" s="41">
        <v>9</v>
      </c>
      <c r="CM1" s="42">
        <v>10</v>
      </c>
    </row>
    <row r="2" spans="1:91" x14ac:dyDescent="0.3">
      <c r="A2" s="48" t="str">
        <v>Part Code</v>
      </c>
      <c r="B2" s="49">
        <v>14007834</v>
      </c>
      <c r="C2" s="50">
        <v>14007835</v>
      </c>
      <c r="D2" s="50">
        <v>14007836</v>
      </c>
      <c r="E2" s="50">
        <v>14007837</v>
      </c>
      <c r="F2" s="50">
        <v>14007838</v>
      </c>
      <c r="G2" s="50">
        <v>14007839</v>
      </c>
      <c r="H2" s="50">
        <v>14007840</v>
      </c>
      <c r="I2" s="50">
        <v>14007841</v>
      </c>
      <c r="J2" s="50">
        <v>14007842</v>
      </c>
      <c r="K2" s="51">
        <v>14007843</v>
      </c>
      <c r="L2" s="49">
        <v>14007834</v>
      </c>
      <c r="M2" s="50">
        <v>14007835</v>
      </c>
      <c r="N2" s="50">
        <v>14007836</v>
      </c>
      <c r="O2" s="50">
        <v>14007837</v>
      </c>
      <c r="P2" s="50">
        <v>14007838</v>
      </c>
      <c r="Q2" s="50">
        <v>14007839</v>
      </c>
      <c r="R2" s="50">
        <v>14007840</v>
      </c>
      <c r="S2" s="50">
        <v>14007841</v>
      </c>
      <c r="T2" s="50">
        <v>14007842</v>
      </c>
      <c r="U2" s="51">
        <v>14007843</v>
      </c>
      <c r="V2" s="49">
        <v>14007834</v>
      </c>
      <c r="W2" s="50">
        <v>14007835</v>
      </c>
      <c r="X2" s="50">
        <v>14007836</v>
      </c>
      <c r="Y2" s="50">
        <v>14007837</v>
      </c>
      <c r="Z2" s="50">
        <v>14007838</v>
      </c>
      <c r="AA2" s="50">
        <v>14007839</v>
      </c>
      <c r="AB2" s="50">
        <v>14007840</v>
      </c>
      <c r="AC2" s="50">
        <v>14007841</v>
      </c>
      <c r="AD2" s="50">
        <v>14007842</v>
      </c>
      <c r="AE2" s="51">
        <v>14007843</v>
      </c>
      <c r="AF2" s="49">
        <v>14007834</v>
      </c>
      <c r="AG2" s="50">
        <v>14007835</v>
      </c>
      <c r="AH2" s="50">
        <v>14007836</v>
      </c>
      <c r="AI2" s="50">
        <v>14007837</v>
      </c>
      <c r="AJ2" s="50">
        <v>14007838</v>
      </c>
      <c r="AK2" s="50">
        <v>14007839</v>
      </c>
      <c r="AL2" s="50">
        <v>14007840</v>
      </c>
      <c r="AM2" s="50">
        <v>14007841</v>
      </c>
      <c r="AN2" s="50">
        <v>14007842</v>
      </c>
      <c r="AO2" s="51">
        <v>14007843</v>
      </c>
      <c r="AP2" s="49">
        <v>14007834</v>
      </c>
      <c r="AQ2" s="50">
        <v>14007835</v>
      </c>
      <c r="AR2" s="50">
        <v>14007836</v>
      </c>
      <c r="AS2" s="50">
        <v>14007837</v>
      </c>
      <c r="AT2" s="50">
        <v>14007838</v>
      </c>
      <c r="AU2" s="50">
        <v>14007839</v>
      </c>
      <c r="AV2" s="50">
        <v>14007840</v>
      </c>
      <c r="AW2" s="50">
        <v>14007841</v>
      </c>
      <c r="AX2" s="50">
        <v>14007842</v>
      </c>
      <c r="AY2" s="51">
        <v>14007843</v>
      </c>
      <c r="AZ2" s="49">
        <v>14007834</v>
      </c>
      <c r="BA2" s="50">
        <v>14007835</v>
      </c>
      <c r="BB2" s="50">
        <v>14007836</v>
      </c>
      <c r="BC2" s="50">
        <v>14007837</v>
      </c>
      <c r="BD2" s="50">
        <v>14007838</v>
      </c>
      <c r="BE2" s="50">
        <v>14007839</v>
      </c>
      <c r="BF2" s="50">
        <v>14007840</v>
      </c>
      <c r="BG2" s="50">
        <v>14007841</v>
      </c>
      <c r="BH2" s="50">
        <v>14007842</v>
      </c>
      <c r="BI2" s="51">
        <v>14007843</v>
      </c>
      <c r="BJ2" s="49">
        <v>14007834</v>
      </c>
      <c r="BK2" s="50">
        <v>14007835</v>
      </c>
      <c r="BL2" s="50">
        <v>14007836</v>
      </c>
      <c r="BM2" s="50">
        <v>14007837</v>
      </c>
      <c r="BN2" s="50">
        <v>14007838</v>
      </c>
      <c r="BO2" s="50">
        <v>14007839</v>
      </c>
      <c r="BP2" s="50">
        <v>14007840</v>
      </c>
      <c r="BQ2" s="50">
        <v>14007841</v>
      </c>
      <c r="BR2" s="50">
        <v>14007842</v>
      </c>
      <c r="BS2" s="51">
        <v>14007843</v>
      </c>
      <c r="BT2" s="49">
        <v>14007834</v>
      </c>
      <c r="BU2" s="50">
        <v>14007835</v>
      </c>
      <c r="BV2" s="50">
        <v>14007836</v>
      </c>
      <c r="BW2" s="50">
        <v>14007837</v>
      </c>
      <c r="BX2" s="50">
        <v>14007838</v>
      </c>
      <c r="BY2" s="50">
        <v>14007839</v>
      </c>
      <c r="BZ2" s="50">
        <v>14007840</v>
      </c>
      <c r="CA2" s="50">
        <v>14007841</v>
      </c>
      <c r="CB2" s="50">
        <v>14007842</v>
      </c>
      <c r="CC2" s="51">
        <v>14007843</v>
      </c>
      <c r="CD2" s="49">
        <v>14007834</v>
      </c>
      <c r="CE2" s="50">
        <v>14007835</v>
      </c>
      <c r="CF2" s="50">
        <v>14007836</v>
      </c>
      <c r="CG2" s="50">
        <v>14007837</v>
      </c>
      <c r="CH2" s="50">
        <v>14007838</v>
      </c>
      <c r="CI2" s="50">
        <v>14007839</v>
      </c>
      <c r="CJ2" s="50">
        <v>14007840</v>
      </c>
      <c r="CK2" s="50">
        <v>14007841</v>
      </c>
      <c r="CL2" s="50">
        <v>14007842</v>
      </c>
      <c r="CM2" s="51">
        <v>14007843</v>
      </c>
    </row>
    <row r="3" spans="1:91" s="10" customFormat="1" ht="43.2" x14ac:dyDescent="0.3">
      <c r="A3" s="43" t="str">
        <v>Item Description</v>
      </c>
      <c r="B3" s="28" t="str">
        <v>2.0_M_CENTER BEZEL PREMIUM ASSY</v>
      </c>
      <c r="C3" s="29" t="str">
        <v>SHROUD UPPER</v>
      </c>
      <c r="D3" s="29" t="str">
        <v>SHROUD LOWER</v>
      </c>
      <c r="E3" s="29" t="str">
        <v>CLUSTER BEZEL LOWER ASSY</v>
      </c>
      <c r="F3" s="29" t="str">
        <v>DRIVER SIDE BOOSTER COVER ASSY</v>
      </c>
      <c r="G3" s="29" t="str">
        <v>PASSENGER SIDE KNEE COVER RHD ASSY</v>
      </c>
      <c r="H3" s="29" t="str">
        <v>END CAP LH ASSY</v>
      </c>
      <c r="I3" s="29" t="str">
        <v>END CAP RH ASSY</v>
      </c>
      <c r="J3" s="29" t="str">
        <v>DRIVER SIDE KNEE COVER RHD ASSY</v>
      </c>
      <c r="K3" s="30" t="str">
        <v>DIN_BIN</v>
      </c>
      <c r="L3" s="28" t="str">
        <v>2.0_M_CENTER BEZEL PREMIUM ASSY</v>
      </c>
      <c r="M3" s="29" t="str">
        <v>SHROUD UPPER</v>
      </c>
      <c r="N3" s="29" t="str">
        <v>SHROUD LOWER</v>
      </c>
      <c r="O3" s="29" t="str">
        <v>CLUSTER BEZEL LOWER ASSY</v>
      </c>
      <c r="P3" s="29" t="str">
        <v>DRIVER SIDE BOOSTER COVER ASSY</v>
      </c>
      <c r="Q3" s="29" t="str">
        <v>PASSENGER SIDE KNEE COVER RHD ASSY</v>
      </c>
      <c r="R3" s="29" t="str">
        <v>END CAP LH ASSY</v>
      </c>
      <c r="S3" s="29" t="str">
        <v>END CAP RH ASSY</v>
      </c>
      <c r="T3" s="29" t="str">
        <v>DRIVER SIDE KNEE COVER RHD ASSY</v>
      </c>
      <c r="U3" s="30" t="str">
        <v>DIN_BIN</v>
      </c>
      <c r="V3" s="28" t="str">
        <v>2.0_M_CENTER BEZEL PREMIUM ASSY</v>
      </c>
      <c r="W3" s="29" t="str">
        <v>SHROUD UPPER</v>
      </c>
      <c r="X3" s="29" t="str">
        <v>SHROUD LOWER</v>
      </c>
      <c r="Y3" s="29" t="str">
        <v>CLUSTER BEZEL LOWER ASSY</v>
      </c>
      <c r="Z3" s="29" t="str">
        <v>DRIVER SIDE BOOSTER COVER ASSY</v>
      </c>
      <c r="AA3" s="29" t="str">
        <v>PASSENGER SIDE KNEE COVER RHD ASSY</v>
      </c>
      <c r="AB3" s="29" t="str">
        <v>END CAP LH ASSY</v>
      </c>
      <c r="AC3" s="29" t="str">
        <v>END CAP RH ASSY</v>
      </c>
      <c r="AD3" s="29" t="str">
        <v>DRIVER SIDE KNEE COVER RHD ASSY</v>
      </c>
      <c r="AE3" s="30" t="str">
        <v>DIN_BIN</v>
      </c>
      <c r="AF3" s="28" t="str">
        <v>2.0_M_CENTER BEZEL PREMIUM ASSY</v>
      </c>
      <c r="AG3" s="29" t="str">
        <v>SHROUD UPPER</v>
      </c>
      <c r="AH3" s="29" t="str">
        <v>SHROUD LOWER</v>
      </c>
      <c r="AI3" s="29" t="str">
        <v>CLUSTER BEZEL LOWER ASSY</v>
      </c>
      <c r="AJ3" s="29" t="str">
        <v>DRIVER SIDE BOOSTER COVER ASSY</v>
      </c>
      <c r="AK3" s="29" t="str">
        <v>PASSENGER SIDE KNEE COVER RHD ASSY</v>
      </c>
      <c r="AL3" s="29" t="str">
        <v>END CAP LH ASSY</v>
      </c>
      <c r="AM3" s="29" t="str">
        <v>END CAP RH ASSY</v>
      </c>
      <c r="AN3" s="29" t="str">
        <v>DRIVER SIDE KNEE COVER RHD ASSY</v>
      </c>
      <c r="AO3" s="30" t="str">
        <v>DIN_BIN</v>
      </c>
      <c r="AP3" s="28" t="str">
        <v>2.0_M_CENTER BEZEL PREMIUM ASSY</v>
      </c>
      <c r="AQ3" s="29" t="str">
        <v>SHROUD UPPER</v>
      </c>
      <c r="AR3" s="29" t="str">
        <v>SHROUD LOWER</v>
      </c>
      <c r="AS3" s="29" t="str">
        <v>CLUSTER BEZEL LOWER ASSY</v>
      </c>
      <c r="AT3" s="29" t="str">
        <v>DRIVER SIDE BOOSTER COVER ASSY</v>
      </c>
      <c r="AU3" s="29" t="str">
        <v>PASSENGER SIDE KNEE COVER RHD ASSY</v>
      </c>
      <c r="AV3" s="29" t="str">
        <v>END CAP LH ASSY</v>
      </c>
      <c r="AW3" s="29" t="str">
        <v>END CAP RH ASSY</v>
      </c>
      <c r="AX3" s="29" t="str">
        <v>DRIVER SIDE KNEE COVER RHD ASSY</v>
      </c>
      <c r="AY3" s="30" t="str">
        <v>DIN_BIN</v>
      </c>
      <c r="AZ3" s="28" t="str">
        <v>2.0_M_CENTER BEZEL PREMIUM ASSY</v>
      </c>
      <c r="BA3" s="29" t="str">
        <v>SHROUD UPPER</v>
      </c>
      <c r="BB3" s="29" t="str">
        <v>SHROUD LOWER</v>
      </c>
      <c r="BC3" s="29" t="str">
        <v>CLUSTER BEZEL LOWER ASSY</v>
      </c>
      <c r="BD3" s="29" t="str">
        <v>DRIVER SIDE BOOSTER COVER ASSY</v>
      </c>
      <c r="BE3" s="29" t="str">
        <v>PASSENGER SIDE KNEE COVER RHD ASSY</v>
      </c>
      <c r="BF3" s="29" t="str">
        <v>END CAP LH ASSY</v>
      </c>
      <c r="BG3" s="29" t="str">
        <v>END CAP RH ASSY</v>
      </c>
      <c r="BH3" s="29" t="str">
        <v>DRIVER SIDE KNEE COVER RHD ASSY</v>
      </c>
      <c r="BI3" s="30" t="str">
        <v>DIN_BIN</v>
      </c>
      <c r="BJ3" s="28" t="str">
        <v>2.0_M_CENTER BEZEL PREMIUM ASSY</v>
      </c>
      <c r="BK3" s="29" t="str">
        <v>SHROUD UPPER</v>
      </c>
      <c r="BL3" s="29" t="str">
        <v>SHROUD LOWER</v>
      </c>
      <c r="BM3" s="29" t="str">
        <v>CLUSTER BEZEL LOWER ASSY</v>
      </c>
      <c r="BN3" s="29" t="str">
        <v>DRIVER SIDE BOOSTER COVER ASSY</v>
      </c>
      <c r="BO3" s="29" t="str">
        <v>PASSENGER SIDE KNEE COVER RHD ASSY</v>
      </c>
      <c r="BP3" s="29" t="str">
        <v>END CAP LH ASSY</v>
      </c>
      <c r="BQ3" s="29" t="str">
        <v>END CAP RH ASSY</v>
      </c>
      <c r="BR3" s="29" t="str">
        <v>DRIVER SIDE KNEE COVER RHD ASSY</v>
      </c>
      <c r="BS3" s="30" t="str">
        <v>DIN_BIN</v>
      </c>
      <c r="BT3" s="28" t="str">
        <v>2.0_M_CENTER BEZEL PREMIUM ASSY</v>
      </c>
      <c r="BU3" s="29" t="str">
        <v>SHROUD UPPER</v>
      </c>
      <c r="BV3" s="29" t="str">
        <v>SHROUD LOWER</v>
      </c>
      <c r="BW3" s="29" t="str">
        <v>CLUSTER BEZEL LOWER ASSY</v>
      </c>
      <c r="BX3" s="29" t="str">
        <v>DRIVER SIDE BOOSTER COVER ASSY</v>
      </c>
      <c r="BY3" s="29" t="str">
        <v>PASSENGER SIDE KNEE COVER RHD ASSY</v>
      </c>
      <c r="BZ3" s="29" t="str">
        <v>END CAP LH ASSY</v>
      </c>
      <c r="CA3" s="29" t="str">
        <v>END CAP RH ASSY</v>
      </c>
      <c r="CB3" s="29" t="str">
        <v>DRIVER SIDE KNEE COVER RHD ASSY</v>
      </c>
      <c r="CC3" s="30" t="str">
        <v>DIN_BIN</v>
      </c>
      <c r="CD3" s="28" t="str">
        <v>2.0_M_CENTER BEZEL PREMIUM ASSY</v>
      </c>
      <c r="CE3" s="29" t="str">
        <v>SHROUD UPPER</v>
      </c>
      <c r="CF3" s="29" t="str">
        <v>SHROUD LOWER</v>
      </c>
      <c r="CG3" s="29" t="str">
        <v>CLUSTER BEZEL LOWER ASSY</v>
      </c>
      <c r="CH3" s="29" t="str">
        <v>DRIVER SIDE BOOSTER COVER ASSY</v>
      </c>
      <c r="CI3" s="29" t="str">
        <v>PASSENGER SIDE KNEE COVER RHD ASSY</v>
      </c>
      <c r="CJ3" s="29" t="str">
        <v>END CAP LH ASSY</v>
      </c>
      <c r="CK3" s="29" t="str">
        <v>END CAP RH ASSY</v>
      </c>
      <c r="CL3" s="29" t="str">
        <v>DRIVER SIDE KNEE COVER RHD ASSY</v>
      </c>
      <c r="CM3" s="30" t="str">
        <v>DIN_BIN</v>
      </c>
    </row>
    <row r="4" spans="1:91" x14ac:dyDescent="0.3">
      <c r="A4" s="44" t="str">
        <v>Part Size (mm)      L</v>
      </c>
      <c r="B4" s="26">
        <v>274</v>
      </c>
      <c r="C4" s="11">
        <v>225</v>
      </c>
      <c r="D4" s="11">
        <v>435</v>
      </c>
      <c r="E4" s="11">
        <v>365</v>
      </c>
      <c r="F4" s="11">
        <v>410</v>
      </c>
      <c r="G4" s="11">
        <v>380</v>
      </c>
      <c r="H4" s="11">
        <v>130</v>
      </c>
      <c r="I4" s="11">
        <v>130</v>
      </c>
      <c r="J4" s="11">
        <v>170</v>
      </c>
      <c r="K4" s="27">
        <v>225</v>
      </c>
      <c r="L4" s="26">
        <v>274</v>
      </c>
      <c r="M4" s="11">
        <v>225</v>
      </c>
      <c r="N4" s="11">
        <v>435</v>
      </c>
      <c r="O4" s="11">
        <v>365</v>
      </c>
      <c r="P4" s="11">
        <v>410</v>
      </c>
      <c r="Q4" s="11">
        <v>380</v>
      </c>
      <c r="R4" s="11">
        <v>130</v>
      </c>
      <c r="S4" s="11">
        <v>130</v>
      </c>
      <c r="T4" s="11">
        <v>170</v>
      </c>
      <c r="U4" s="27">
        <v>225</v>
      </c>
      <c r="V4" s="26">
        <v>274</v>
      </c>
      <c r="W4" s="11">
        <v>225</v>
      </c>
      <c r="X4" s="11">
        <v>435</v>
      </c>
      <c r="Y4" s="11">
        <v>365</v>
      </c>
      <c r="Z4" s="11">
        <v>410</v>
      </c>
      <c r="AA4" s="11">
        <v>380</v>
      </c>
      <c r="AB4" s="11">
        <v>130</v>
      </c>
      <c r="AC4" s="11">
        <v>130</v>
      </c>
      <c r="AD4" s="11">
        <v>170</v>
      </c>
      <c r="AE4" s="27">
        <v>225</v>
      </c>
      <c r="AF4" s="26">
        <v>274</v>
      </c>
      <c r="AG4" s="11">
        <v>225</v>
      </c>
      <c r="AH4" s="11">
        <v>435</v>
      </c>
      <c r="AI4" s="11">
        <v>365</v>
      </c>
      <c r="AJ4" s="11">
        <v>410</v>
      </c>
      <c r="AK4" s="11">
        <v>380</v>
      </c>
      <c r="AL4" s="11">
        <v>130</v>
      </c>
      <c r="AM4" s="11">
        <v>130</v>
      </c>
      <c r="AN4" s="11">
        <v>170</v>
      </c>
      <c r="AO4" s="27">
        <v>225</v>
      </c>
      <c r="AP4" s="26">
        <v>274</v>
      </c>
      <c r="AQ4" s="11">
        <v>225</v>
      </c>
      <c r="AR4" s="11">
        <v>435</v>
      </c>
      <c r="AS4" s="11">
        <v>365</v>
      </c>
      <c r="AT4" s="11">
        <v>410</v>
      </c>
      <c r="AU4" s="11">
        <v>380</v>
      </c>
      <c r="AV4" s="11">
        <v>130</v>
      </c>
      <c r="AW4" s="11">
        <v>130</v>
      </c>
      <c r="AX4" s="11">
        <v>170</v>
      </c>
      <c r="AY4" s="27">
        <v>225</v>
      </c>
      <c r="AZ4" s="26">
        <v>274</v>
      </c>
      <c r="BA4" s="11">
        <v>225</v>
      </c>
      <c r="BB4" s="11">
        <v>435</v>
      </c>
      <c r="BC4" s="11">
        <v>365</v>
      </c>
      <c r="BD4" s="11">
        <v>410</v>
      </c>
      <c r="BE4" s="11">
        <v>380</v>
      </c>
      <c r="BF4" s="11">
        <v>130</v>
      </c>
      <c r="BG4" s="11">
        <v>130</v>
      </c>
      <c r="BH4" s="11">
        <v>170</v>
      </c>
      <c r="BI4" s="27">
        <v>225</v>
      </c>
      <c r="BJ4" s="26">
        <v>274</v>
      </c>
      <c r="BK4" s="11">
        <v>225</v>
      </c>
      <c r="BL4" s="11">
        <v>435</v>
      </c>
      <c r="BM4" s="11">
        <v>365</v>
      </c>
      <c r="BN4" s="11">
        <v>410</v>
      </c>
      <c r="BO4" s="11">
        <v>380</v>
      </c>
      <c r="BP4" s="11">
        <v>130</v>
      </c>
      <c r="BQ4" s="11">
        <v>130</v>
      </c>
      <c r="BR4" s="11">
        <v>170</v>
      </c>
      <c r="BS4" s="27">
        <v>225</v>
      </c>
      <c r="BT4" s="26">
        <v>274</v>
      </c>
      <c r="BU4" s="11">
        <v>225</v>
      </c>
      <c r="BV4" s="11">
        <v>435</v>
      </c>
      <c r="BW4" s="11">
        <v>365</v>
      </c>
      <c r="BX4" s="11">
        <v>410</v>
      </c>
      <c r="BY4" s="11">
        <v>380</v>
      </c>
      <c r="BZ4" s="11">
        <v>130</v>
      </c>
      <c r="CA4" s="11">
        <v>130</v>
      </c>
      <c r="CB4" s="11">
        <v>170</v>
      </c>
      <c r="CC4" s="27">
        <v>225</v>
      </c>
      <c r="CD4" s="26">
        <v>274</v>
      </c>
      <c r="CE4" s="11">
        <v>225</v>
      </c>
      <c r="CF4" s="11">
        <v>435</v>
      </c>
      <c r="CG4" s="11">
        <v>365</v>
      </c>
      <c r="CH4" s="11">
        <v>410</v>
      </c>
      <c r="CI4" s="11">
        <v>380</v>
      </c>
      <c r="CJ4" s="11">
        <v>130</v>
      </c>
      <c r="CK4" s="11">
        <v>130</v>
      </c>
      <c r="CL4" s="11">
        <v>170</v>
      </c>
      <c r="CM4" s="27">
        <v>225</v>
      </c>
    </row>
    <row r="5" spans="1:91" x14ac:dyDescent="0.3">
      <c r="A5" s="44" t="str">
        <v>Part Size (mm)      W</v>
      </c>
      <c r="B5" s="26">
        <v>76</v>
      </c>
      <c r="C5" s="11">
        <v>125</v>
      </c>
      <c r="D5" s="11">
        <v>100</v>
      </c>
      <c r="E5" s="11">
        <v>63</v>
      </c>
      <c r="F5" s="11">
        <v>280</v>
      </c>
      <c r="G5" s="11">
        <v>110</v>
      </c>
      <c r="H5" s="11">
        <v>50</v>
      </c>
      <c r="I5" s="11">
        <v>50</v>
      </c>
      <c r="J5" s="11">
        <v>70</v>
      </c>
      <c r="K5" s="27">
        <v>70</v>
      </c>
      <c r="L5" s="26">
        <v>76</v>
      </c>
      <c r="M5" s="11">
        <v>125</v>
      </c>
      <c r="N5" s="11">
        <v>100</v>
      </c>
      <c r="O5" s="11">
        <v>63</v>
      </c>
      <c r="P5" s="11">
        <v>280</v>
      </c>
      <c r="Q5" s="11">
        <v>110</v>
      </c>
      <c r="R5" s="11">
        <v>50</v>
      </c>
      <c r="S5" s="11">
        <v>50</v>
      </c>
      <c r="T5" s="11">
        <v>70</v>
      </c>
      <c r="U5" s="27">
        <v>70</v>
      </c>
      <c r="V5" s="26">
        <v>76</v>
      </c>
      <c r="W5" s="11">
        <v>125</v>
      </c>
      <c r="X5" s="11">
        <v>100</v>
      </c>
      <c r="Y5" s="11">
        <v>63</v>
      </c>
      <c r="Z5" s="11">
        <v>280</v>
      </c>
      <c r="AA5" s="11">
        <v>110</v>
      </c>
      <c r="AB5" s="11">
        <v>50</v>
      </c>
      <c r="AC5" s="11">
        <v>50</v>
      </c>
      <c r="AD5" s="11">
        <v>70</v>
      </c>
      <c r="AE5" s="27">
        <v>70</v>
      </c>
      <c r="AF5" s="26">
        <v>76</v>
      </c>
      <c r="AG5" s="11">
        <v>125</v>
      </c>
      <c r="AH5" s="11">
        <v>100</v>
      </c>
      <c r="AI5" s="11">
        <v>63</v>
      </c>
      <c r="AJ5" s="11">
        <v>280</v>
      </c>
      <c r="AK5" s="11">
        <v>110</v>
      </c>
      <c r="AL5" s="11">
        <v>50</v>
      </c>
      <c r="AM5" s="11">
        <v>50</v>
      </c>
      <c r="AN5" s="11">
        <v>70</v>
      </c>
      <c r="AO5" s="27">
        <v>70</v>
      </c>
      <c r="AP5" s="26">
        <v>76</v>
      </c>
      <c r="AQ5" s="11">
        <v>125</v>
      </c>
      <c r="AR5" s="11">
        <v>100</v>
      </c>
      <c r="AS5" s="11">
        <v>63</v>
      </c>
      <c r="AT5" s="11">
        <v>280</v>
      </c>
      <c r="AU5" s="11">
        <v>110</v>
      </c>
      <c r="AV5" s="11">
        <v>50</v>
      </c>
      <c r="AW5" s="11">
        <v>50</v>
      </c>
      <c r="AX5" s="11">
        <v>70</v>
      </c>
      <c r="AY5" s="27">
        <v>70</v>
      </c>
      <c r="AZ5" s="26">
        <v>76</v>
      </c>
      <c r="BA5" s="11">
        <v>125</v>
      </c>
      <c r="BB5" s="11">
        <v>100</v>
      </c>
      <c r="BC5" s="11">
        <v>63</v>
      </c>
      <c r="BD5" s="11">
        <v>280</v>
      </c>
      <c r="BE5" s="11">
        <v>110</v>
      </c>
      <c r="BF5" s="11">
        <v>50</v>
      </c>
      <c r="BG5" s="11">
        <v>50</v>
      </c>
      <c r="BH5" s="11">
        <v>70</v>
      </c>
      <c r="BI5" s="27">
        <v>70</v>
      </c>
      <c r="BJ5" s="26">
        <v>76</v>
      </c>
      <c r="BK5" s="11">
        <v>125</v>
      </c>
      <c r="BL5" s="11">
        <v>100</v>
      </c>
      <c r="BM5" s="11">
        <v>63</v>
      </c>
      <c r="BN5" s="11">
        <v>280</v>
      </c>
      <c r="BO5" s="11">
        <v>110</v>
      </c>
      <c r="BP5" s="11">
        <v>50</v>
      </c>
      <c r="BQ5" s="11">
        <v>50</v>
      </c>
      <c r="BR5" s="11">
        <v>70</v>
      </c>
      <c r="BS5" s="27">
        <v>70</v>
      </c>
      <c r="BT5" s="26">
        <v>76</v>
      </c>
      <c r="BU5" s="11">
        <v>125</v>
      </c>
      <c r="BV5" s="11">
        <v>100</v>
      </c>
      <c r="BW5" s="11">
        <v>63</v>
      </c>
      <c r="BX5" s="11">
        <v>280</v>
      </c>
      <c r="BY5" s="11">
        <v>110</v>
      </c>
      <c r="BZ5" s="11">
        <v>50</v>
      </c>
      <c r="CA5" s="11">
        <v>50</v>
      </c>
      <c r="CB5" s="11">
        <v>70</v>
      </c>
      <c r="CC5" s="27">
        <v>70</v>
      </c>
      <c r="CD5" s="26">
        <v>76</v>
      </c>
      <c r="CE5" s="11">
        <v>125</v>
      </c>
      <c r="CF5" s="11">
        <v>100</v>
      </c>
      <c r="CG5" s="11">
        <v>63</v>
      </c>
      <c r="CH5" s="11">
        <v>280</v>
      </c>
      <c r="CI5" s="11">
        <v>110</v>
      </c>
      <c r="CJ5" s="11">
        <v>50</v>
      </c>
      <c r="CK5" s="11">
        <v>50</v>
      </c>
      <c r="CL5" s="11">
        <v>70</v>
      </c>
      <c r="CM5" s="27">
        <v>70</v>
      </c>
    </row>
    <row r="6" spans="1:91" x14ac:dyDescent="0.3">
      <c r="A6" s="44" t="str">
        <v>Part Size (mm)      H</v>
      </c>
      <c r="B6" s="26">
        <v>620</v>
      </c>
      <c r="C6" s="11">
        <v>190</v>
      </c>
      <c r="D6" s="11">
        <v>210</v>
      </c>
      <c r="E6" s="11">
        <v>225</v>
      </c>
      <c r="F6" s="11">
        <v>160</v>
      </c>
      <c r="G6" s="11">
        <v>295</v>
      </c>
      <c r="H6" s="11">
        <v>385</v>
      </c>
      <c r="I6" s="11">
        <v>385</v>
      </c>
      <c r="J6" s="11">
        <v>265</v>
      </c>
      <c r="K6" s="27">
        <v>310</v>
      </c>
      <c r="L6" s="26">
        <v>620</v>
      </c>
      <c r="M6" s="11">
        <v>190</v>
      </c>
      <c r="N6" s="11">
        <v>210</v>
      </c>
      <c r="O6" s="11">
        <v>225</v>
      </c>
      <c r="P6" s="11">
        <v>160</v>
      </c>
      <c r="Q6" s="11">
        <v>295</v>
      </c>
      <c r="R6" s="11">
        <v>385</v>
      </c>
      <c r="S6" s="11">
        <v>385</v>
      </c>
      <c r="T6" s="11">
        <v>265</v>
      </c>
      <c r="U6" s="27">
        <v>310</v>
      </c>
      <c r="V6" s="26">
        <v>620</v>
      </c>
      <c r="W6" s="11">
        <v>190</v>
      </c>
      <c r="X6" s="11">
        <v>210</v>
      </c>
      <c r="Y6" s="11">
        <v>225</v>
      </c>
      <c r="Z6" s="11">
        <v>160</v>
      </c>
      <c r="AA6" s="11">
        <v>295</v>
      </c>
      <c r="AB6" s="11">
        <v>385</v>
      </c>
      <c r="AC6" s="11">
        <v>385</v>
      </c>
      <c r="AD6" s="11">
        <v>265</v>
      </c>
      <c r="AE6" s="27">
        <v>310</v>
      </c>
      <c r="AF6" s="26">
        <v>620</v>
      </c>
      <c r="AG6" s="11">
        <v>190</v>
      </c>
      <c r="AH6" s="11">
        <v>210</v>
      </c>
      <c r="AI6" s="11">
        <v>225</v>
      </c>
      <c r="AJ6" s="11">
        <v>160</v>
      </c>
      <c r="AK6" s="11">
        <v>295</v>
      </c>
      <c r="AL6" s="11">
        <v>385</v>
      </c>
      <c r="AM6" s="11">
        <v>385</v>
      </c>
      <c r="AN6" s="11">
        <v>265</v>
      </c>
      <c r="AO6" s="27">
        <v>310</v>
      </c>
      <c r="AP6" s="26">
        <v>620</v>
      </c>
      <c r="AQ6" s="11">
        <v>190</v>
      </c>
      <c r="AR6" s="11">
        <v>210</v>
      </c>
      <c r="AS6" s="11">
        <v>225</v>
      </c>
      <c r="AT6" s="11">
        <v>160</v>
      </c>
      <c r="AU6" s="11">
        <v>295</v>
      </c>
      <c r="AV6" s="11">
        <v>385</v>
      </c>
      <c r="AW6" s="11">
        <v>385</v>
      </c>
      <c r="AX6" s="11">
        <v>265</v>
      </c>
      <c r="AY6" s="27">
        <v>310</v>
      </c>
      <c r="AZ6" s="26">
        <v>620</v>
      </c>
      <c r="BA6" s="11">
        <v>190</v>
      </c>
      <c r="BB6" s="11">
        <v>210</v>
      </c>
      <c r="BC6" s="11">
        <v>225</v>
      </c>
      <c r="BD6" s="11">
        <v>160</v>
      </c>
      <c r="BE6" s="11">
        <v>295</v>
      </c>
      <c r="BF6" s="11">
        <v>385</v>
      </c>
      <c r="BG6" s="11">
        <v>385</v>
      </c>
      <c r="BH6" s="11">
        <v>265</v>
      </c>
      <c r="BI6" s="27">
        <v>310</v>
      </c>
      <c r="BJ6" s="26">
        <v>620</v>
      </c>
      <c r="BK6" s="11">
        <v>190</v>
      </c>
      <c r="BL6" s="11">
        <v>210</v>
      </c>
      <c r="BM6" s="11">
        <v>225</v>
      </c>
      <c r="BN6" s="11">
        <v>160</v>
      </c>
      <c r="BO6" s="11">
        <v>295</v>
      </c>
      <c r="BP6" s="11">
        <v>385</v>
      </c>
      <c r="BQ6" s="11">
        <v>385</v>
      </c>
      <c r="BR6" s="11">
        <v>265</v>
      </c>
      <c r="BS6" s="27">
        <v>310</v>
      </c>
      <c r="BT6" s="26">
        <v>620</v>
      </c>
      <c r="BU6" s="11">
        <v>190</v>
      </c>
      <c r="BV6" s="11">
        <v>210</v>
      </c>
      <c r="BW6" s="11">
        <v>225</v>
      </c>
      <c r="BX6" s="11">
        <v>160</v>
      </c>
      <c r="BY6" s="11">
        <v>295</v>
      </c>
      <c r="BZ6" s="11">
        <v>385</v>
      </c>
      <c r="CA6" s="11">
        <v>385</v>
      </c>
      <c r="CB6" s="11">
        <v>265</v>
      </c>
      <c r="CC6" s="27">
        <v>310</v>
      </c>
      <c r="CD6" s="26">
        <v>620</v>
      </c>
      <c r="CE6" s="11">
        <v>190</v>
      </c>
      <c r="CF6" s="11">
        <v>210</v>
      </c>
      <c r="CG6" s="11">
        <v>225</v>
      </c>
      <c r="CH6" s="11">
        <v>160</v>
      </c>
      <c r="CI6" s="11">
        <v>295</v>
      </c>
      <c r="CJ6" s="11">
        <v>385</v>
      </c>
      <c r="CK6" s="11">
        <v>385</v>
      </c>
      <c r="CL6" s="11">
        <v>265</v>
      </c>
      <c r="CM6" s="27">
        <v>310</v>
      </c>
    </row>
    <row r="7" spans="1:91" x14ac:dyDescent="0.3">
      <c r="A7" s="44" t="str">
        <v>Per Layer Qty</v>
      </c>
      <c r="B7" s="26">
        <v>44</v>
      </c>
      <c r="C7" s="11">
        <v>96</v>
      </c>
      <c r="D7" s="11">
        <v>48</v>
      </c>
      <c r="E7" s="11">
        <v>96</v>
      </c>
      <c r="F7" s="11">
        <v>16</v>
      </c>
      <c r="G7" s="11">
        <v>64</v>
      </c>
      <c r="H7" s="11">
        <v>192</v>
      </c>
      <c r="I7" s="11">
        <v>192</v>
      </c>
      <c r="J7" s="11">
        <v>80</v>
      </c>
      <c r="K7" s="27">
        <v>192</v>
      </c>
      <c r="L7" s="26">
        <v>44</v>
      </c>
      <c r="M7" s="11">
        <v>96</v>
      </c>
      <c r="N7" s="11">
        <v>48</v>
      </c>
      <c r="O7" s="11">
        <v>96</v>
      </c>
      <c r="P7" s="11">
        <v>16</v>
      </c>
      <c r="Q7" s="11">
        <v>64</v>
      </c>
      <c r="R7" s="11">
        <v>192</v>
      </c>
      <c r="S7" s="11">
        <v>192</v>
      </c>
      <c r="T7" s="11">
        <v>80</v>
      </c>
      <c r="U7" s="27">
        <v>192</v>
      </c>
      <c r="V7" s="26">
        <v>44</v>
      </c>
      <c r="W7" s="11">
        <v>96</v>
      </c>
      <c r="X7" s="11">
        <v>48</v>
      </c>
      <c r="Y7" s="11">
        <v>96</v>
      </c>
      <c r="Z7" s="11">
        <v>16</v>
      </c>
      <c r="AA7" s="11">
        <v>64</v>
      </c>
      <c r="AB7" s="11">
        <v>192</v>
      </c>
      <c r="AC7" s="11">
        <v>192</v>
      </c>
      <c r="AD7" s="11">
        <v>80</v>
      </c>
      <c r="AE7" s="27">
        <v>192</v>
      </c>
      <c r="AF7" s="26">
        <v>44</v>
      </c>
      <c r="AG7" s="11">
        <v>96</v>
      </c>
      <c r="AH7" s="11">
        <v>48</v>
      </c>
      <c r="AI7" s="11">
        <v>96</v>
      </c>
      <c r="AJ7" s="11">
        <v>16</v>
      </c>
      <c r="AK7" s="11">
        <v>64</v>
      </c>
      <c r="AL7" s="11">
        <v>192</v>
      </c>
      <c r="AM7" s="11">
        <v>192</v>
      </c>
      <c r="AN7" s="11">
        <v>80</v>
      </c>
      <c r="AO7" s="27">
        <v>192</v>
      </c>
      <c r="AP7" s="26">
        <v>44</v>
      </c>
      <c r="AQ7" s="11">
        <v>96</v>
      </c>
      <c r="AR7" s="11">
        <v>48</v>
      </c>
      <c r="AS7" s="11">
        <v>96</v>
      </c>
      <c r="AT7" s="11">
        <v>16</v>
      </c>
      <c r="AU7" s="11">
        <v>64</v>
      </c>
      <c r="AV7" s="11">
        <v>192</v>
      </c>
      <c r="AW7" s="11">
        <v>192</v>
      </c>
      <c r="AX7" s="11">
        <v>80</v>
      </c>
      <c r="AY7" s="27">
        <v>192</v>
      </c>
      <c r="AZ7" s="26">
        <v>44</v>
      </c>
      <c r="BA7" s="11">
        <v>96</v>
      </c>
      <c r="BB7" s="11">
        <v>48</v>
      </c>
      <c r="BC7" s="11">
        <v>96</v>
      </c>
      <c r="BD7" s="11">
        <v>16</v>
      </c>
      <c r="BE7" s="11">
        <v>64</v>
      </c>
      <c r="BF7" s="11">
        <v>192</v>
      </c>
      <c r="BG7" s="11">
        <v>192</v>
      </c>
      <c r="BH7" s="11">
        <v>80</v>
      </c>
      <c r="BI7" s="27">
        <v>192</v>
      </c>
      <c r="BJ7" s="26">
        <v>44</v>
      </c>
      <c r="BK7" s="11">
        <v>96</v>
      </c>
      <c r="BL7" s="11">
        <v>48</v>
      </c>
      <c r="BM7" s="11">
        <v>96</v>
      </c>
      <c r="BN7" s="11">
        <v>16</v>
      </c>
      <c r="BO7" s="11">
        <v>64</v>
      </c>
      <c r="BP7" s="11">
        <v>192</v>
      </c>
      <c r="BQ7" s="11">
        <v>192</v>
      </c>
      <c r="BR7" s="11">
        <v>80</v>
      </c>
      <c r="BS7" s="27">
        <v>192</v>
      </c>
      <c r="BT7" s="26">
        <v>44</v>
      </c>
      <c r="BU7" s="11">
        <v>96</v>
      </c>
      <c r="BV7" s="11">
        <v>48</v>
      </c>
      <c r="BW7" s="11">
        <v>96</v>
      </c>
      <c r="BX7" s="11">
        <v>16</v>
      </c>
      <c r="BY7" s="11">
        <v>64</v>
      </c>
      <c r="BZ7" s="11">
        <v>192</v>
      </c>
      <c r="CA7" s="11">
        <v>192</v>
      </c>
      <c r="CB7" s="11">
        <v>80</v>
      </c>
      <c r="CC7" s="27">
        <v>192</v>
      </c>
      <c r="CD7" s="26">
        <v>44</v>
      </c>
      <c r="CE7" s="11">
        <v>96</v>
      </c>
      <c r="CF7" s="11">
        <v>48</v>
      </c>
      <c r="CG7" s="11">
        <v>96</v>
      </c>
      <c r="CH7" s="11">
        <v>16</v>
      </c>
      <c r="CI7" s="11">
        <v>64</v>
      </c>
      <c r="CJ7" s="11">
        <v>192</v>
      </c>
      <c r="CK7" s="11">
        <v>192</v>
      </c>
      <c r="CL7" s="11">
        <v>80</v>
      </c>
      <c r="CM7" s="27">
        <v>192</v>
      </c>
    </row>
    <row r="8" spans="1:91" x14ac:dyDescent="0.3">
      <c r="A8" s="44" t="str">
        <v>Layer / GLT</v>
      </c>
      <c r="B8" s="26">
        <v>1</v>
      </c>
      <c r="C8" s="11">
        <v>2</v>
      </c>
      <c r="D8" s="11">
        <v>1</v>
      </c>
      <c r="E8" s="11">
        <v>1</v>
      </c>
      <c r="F8" s="11">
        <v>1</v>
      </c>
      <c r="G8" s="11">
        <v>1</v>
      </c>
      <c r="H8" s="11">
        <v>1</v>
      </c>
      <c r="I8" s="11">
        <v>1</v>
      </c>
      <c r="J8" s="11">
        <v>1</v>
      </c>
      <c r="K8" s="27">
        <v>3</v>
      </c>
      <c r="L8" s="26">
        <v>1</v>
      </c>
      <c r="M8" s="11">
        <v>2</v>
      </c>
      <c r="N8" s="11">
        <v>1</v>
      </c>
      <c r="O8" s="11">
        <v>1</v>
      </c>
      <c r="P8" s="11">
        <v>1</v>
      </c>
      <c r="Q8" s="11">
        <v>1</v>
      </c>
      <c r="R8" s="11">
        <v>1</v>
      </c>
      <c r="S8" s="11">
        <v>1</v>
      </c>
      <c r="T8" s="11">
        <v>1</v>
      </c>
      <c r="U8" s="27">
        <v>3</v>
      </c>
      <c r="V8" s="26">
        <v>1</v>
      </c>
      <c r="W8" s="11">
        <v>2</v>
      </c>
      <c r="X8" s="11">
        <v>1</v>
      </c>
      <c r="Y8" s="11">
        <v>1</v>
      </c>
      <c r="Z8" s="11">
        <v>1</v>
      </c>
      <c r="AA8" s="11">
        <v>1</v>
      </c>
      <c r="AB8" s="11">
        <v>1</v>
      </c>
      <c r="AC8" s="11">
        <v>1</v>
      </c>
      <c r="AD8" s="11">
        <v>1</v>
      </c>
      <c r="AE8" s="27">
        <v>3</v>
      </c>
      <c r="AF8" s="26">
        <v>1</v>
      </c>
      <c r="AG8" s="11">
        <v>2</v>
      </c>
      <c r="AH8" s="11">
        <v>1</v>
      </c>
      <c r="AI8" s="11">
        <v>1</v>
      </c>
      <c r="AJ8" s="11">
        <v>1</v>
      </c>
      <c r="AK8" s="11">
        <v>1</v>
      </c>
      <c r="AL8" s="11">
        <v>1</v>
      </c>
      <c r="AM8" s="11">
        <v>1</v>
      </c>
      <c r="AN8" s="11">
        <v>1</v>
      </c>
      <c r="AO8" s="27">
        <v>3</v>
      </c>
      <c r="AP8" s="26">
        <v>1</v>
      </c>
      <c r="AQ8" s="11">
        <v>2</v>
      </c>
      <c r="AR8" s="11">
        <v>1</v>
      </c>
      <c r="AS8" s="11">
        <v>1</v>
      </c>
      <c r="AT8" s="11">
        <v>1</v>
      </c>
      <c r="AU8" s="11">
        <v>1</v>
      </c>
      <c r="AV8" s="11">
        <v>1</v>
      </c>
      <c r="AW8" s="11">
        <v>1</v>
      </c>
      <c r="AX8" s="11">
        <v>1</v>
      </c>
      <c r="AY8" s="27">
        <v>3</v>
      </c>
      <c r="AZ8" s="26">
        <v>1</v>
      </c>
      <c r="BA8" s="11">
        <v>2</v>
      </c>
      <c r="BB8" s="11">
        <v>1</v>
      </c>
      <c r="BC8" s="11">
        <v>1</v>
      </c>
      <c r="BD8" s="11">
        <v>1</v>
      </c>
      <c r="BE8" s="11">
        <v>1</v>
      </c>
      <c r="BF8" s="11">
        <v>1</v>
      </c>
      <c r="BG8" s="11">
        <v>1</v>
      </c>
      <c r="BH8" s="11">
        <v>1</v>
      </c>
      <c r="BI8" s="27">
        <v>3</v>
      </c>
      <c r="BJ8" s="26">
        <v>1</v>
      </c>
      <c r="BK8" s="11">
        <v>2</v>
      </c>
      <c r="BL8" s="11">
        <v>1</v>
      </c>
      <c r="BM8" s="11">
        <v>1</v>
      </c>
      <c r="BN8" s="11">
        <v>1</v>
      </c>
      <c r="BO8" s="11">
        <v>1</v>
      </c>
      <c r="BP8" s="11">
        <v>1</v>
      </c>
      <c r="BQ8" s="11">
        <v>1</v>
      </c>
      <c r="BR8" s="11">
        <v>1</v>
      </c>
      <c r="BS8" s="27">
        <v>3</v>
      </c>
      <c r="BT8" s="26">
        <v>1</v>
      </c>
      <c r="BU8" s="11">
        <v>2</v>
      </c>
      <c r="BV8" s="11">
        <v>1</v>
      </c>
      <c r="BW8" s="11">
        <v>1</v>
      </c>
      <c r="BX8" s="11">
        <v>1</v>
      </c>
      <c r="BY8" s="11">
        <v>1</v>
      </c>
      <c r="BZ8" s="11">
        <v>1</v>
      </c>
      <c r="CA8" s="11">
        <v>1</v>
      </c>
      <c r="CB8" s="11">
        <v>1</v>
      </c>
      <c r="CC8" s="27">
        <v>3</v>
      </c>
      <c r="CD8" s="26">
        <v>1</v>
      </c>
      <c r="CE8" s="11">
        <v>2</v>
      </c>
      <c r="CF8" s="11">
        <v>1</v>
      </c>
      <c r="CG8" s="11">
        <v>1</v>
      </c>
      <c r="CH8" s="11">
        <v>1</v>
      </c>
      <c r="CI8" s="11">
        <v>1</v>
      </c>
      <c r="CJ8" s="11">
        <v>1</v>
      </c>
      <c r="CK8" s="11">
        <v>1</v>
      </c>
      <c r="CL8" s="11">
        <v>1</v>
      </c>
      <c r="CM8" s="27">
        <v>3</v>
      </c>
    </row>
    <row r="9" spans="1:91" x14ac:dyDescent="0.3">
      <c r="A9" s="44" t="str">
        <v>Qty / GLT</v>
      </c>
      <c r="B9" s="26">
        <v>44</v>
      </c>
      <c r="C9" s="11">
        <v>192</v>
      </c>
      <c r="D9" s="11">
        <v>48</v>
      </c>
      <c r="E9" s="11">
        <v>96</v>
      </c>
      <c r="F9" s="11">
        <v>16</v>
      </c>
      <c r="G9" s="11">
        <v>64</v>
      </c>
      <c r="H9" s="11">
        <v>192</v>
      </c>
      <c r="I9" s="11">
        <v>192</v>
      </c>
      <c r="J9" s="11">
        <v>80</v>
      </c>
      <c r="K9" s="27">
        <v>576</v>
      </c>
      <c r="L9" s="26">
        <v>44</v>
      </c>
      <c r="M9" s="11">
        <v>192</v>
      </c>
      <c r="N9" s="11">
        <v>48</v>
      </c>
      <c r="O9" s="11">
        <v>96</v>
      </c>
      <c r="P9" s="11">
        <v>16</v>
      </c>
      <c r="Q9" s="11">
        <v>64</v>
      </c>
      <c r="R9" s="11">
        <v>192</v>
      </c>
      <c r="S9" s="11">
        <v>192</v>
      </c>
      <c r="T9" s="11">
        <v>80</v>
      </c>
      <c r="U9" s="27">
        <v>576</v>
      </c>
      <c r="V9" s="26">
        <v>44</v>
      </c>
      <c r="W9" s="11">
        <v>192</v>
      </c>
      <c r="X9" s="11">
        <v>48</v>
      </c>
      <c r="Y9" s="11">
        <v>96</v>
      </c>
      <c r="Z9" s="11">
        <v>16</v>
      </c>
      <c r="AA9" s="11">
        <v>64</v>
      </c>
      <c r="AB9" s="11">
        <v>192</v>
      </c>
      <c r="AC9" s="11">
        <v>192</v>
      </c>
      <c r="AD9" s="11">
        <v>80</v>
      </c>
      <c r="AE9" s="27">
        <v>576</v>
      </c>
      <c r="AF9" s="26">
        <v>44</v>
      </c>
      <c r="AG9" s="11">
        <v>192</v>
      </c>
      <c r="AH9" s="11">
        <v>48</v>
      </c>
      <c r="AI9" s="11">
        <v>96</v>
      </c>
      <c r="AJ9" s="11">
        <v>16</v>
      </c>
      <c r="AK9" s="11">
        <v>64</v>
      </c>
      <c r="AL9" s="11">
        <v>192</v>
      </c>
      <c r="AM9" s="11">
        <v>192</v>
      </c>
      <c r="AN9" s="11">
        <v>80</v>
      </c>
      <c r="AO9" s="27">
        <v>576</v>
      </c>
      <c r="AP9" s="26">
        <v>44</v>
      </c>
      <c r="AQ9" s="11">
        <v>192</v>
      </c>
      <c r="AR9" s="11">
        <v>48</v>
      </c>
      <c r="AS9" s="11">
        <v>96</v>
      </c>
      <c r="AT9" s="11">
        <v>16</v>
      </c>
      <c r="AU9" s="11">
        <v>64</v>
      </c>
      <c r="AV9" s="11">
        <v>192</v>
      </c>
      <c r="AW9" s="11">
        <v>192</v>
      </c>
      <c r="AX9" s="11">
        <v>80</v>
      </c>
      <c r="AY9" s="27">
        <v>576</v>
      </c>
      <c r="AZ9" s="26">
        <v>44</v>
      </c>
      <c r="BA9" s="11">
        <v>192</v>
      </c>
      <c r="BB9" s="11">
        <v>48</v>
      </c>
      <c r="BC9" s="11">
        <v>96</v>
      </c>
      <c r="BD9" s="11">
        <v>16</v>
      </c>
      <c r="BE9" s="11">
        <v>64</v>
      </c>
      <c r="BF9" s="11">
        <v>192</v>
      </c>
      <c r="BG9" s="11">
        <v>192</v>
      </c>
      <c r="BH9" s="11">
        <v>80</v>
      </c>
      <c r="BI9" s="27">
        <v>576</v>
      </c>
      <c r="BJ9" s="26">
        <v>44</v>
      </c>
      <c r="BK9" s="11">
        <v>192</v>
      </c>
      <c r="BL9" s="11">
        <v>48</v>
      </c>
      <c r="BM9" s="11">
        <v>96</v>
      </c>
      <c r="BN9" s="11">
        <v>16</v>
      </c>
      <c r="BO9" s="11">
        <v>64</v>
      </c>
      <c r="BP9" s="11">
        <v>192</v>
      </c>
      <c r="BQ9" s="11">
        <v>192</v>
      </c>
      <c r="BR9" s="11">
        <v>80</v>
      </c>
      <c r="BS9" s="27">
        <v>576</v>
      </c>
      <c r="BT9" s="26">
        <v>44</v>
      </c>
      <c r="BU9" s="11">
        <v>192</v>
      </c>
      <c r="BV9" s="11">
        <v>48</v>
      </c>
      <c r="BW9" s="11">
        <v>96</v>
      </c>
      <c r="BX9" s="11">
        <v>16</v>
      </c>
      <c r="BY9" s="11">
        <v>64</v>
      </c>
      <c r="BZ9" s="11">
        <v>192</v>
      </c>
      <c r="CA9" s="11">
        <v>192</v>
      </c>
      <c r="CB9" s="11">
        <v>80</v>
      </c>
      <c r="CC9" s="27">
        <v>576</v>
      </c>
      <c r="CD9" s="26">
        <v>44</v>
      </c>
      <c r="CE9" s="11">
        <v>192</v>
      </c>
      <c r="CF9" s="11">
        <v>48</v>
      </c>
      <c r="CG9" s="11">
        <v>96</v>
      </c>
      <c r="CH9" s="11">
        <v>16</v>
      </c>
      <c r="CI9" s="11">
        <v>64</v>
      </c>
      <c r="CJ9" s="11">
        <v>192</v>
      </c>
      <c r="CK9" s="11">
        <v>192</v>
      </c>
      <c r="CL9" s="11">
        <v>80</v>
      </c>
      <c r="CM9" s="27">
        <v>576</v>
      </c>
    </row>
    <row r="10" spans="1:91" x14ac:dyDescent="0.3">
      <c r="A10" s="44" t="str">
        <v>Qty Req</v>
      </c>
      <c r="B10" s="26">
        <v>80</v>
      </c>
      <c r="C10" s="11">
        <v>18</v>
      </c>
      <c r="D10" s="11">
        <v>75</v>
      </c>
      <c r="E10" s="11">
        <v>38</v>
      </c>
      <c r="F10" s="11">
        <v>202</v>
      </c>
      <c r="G10" s="11">
        <v>50</v>
      </c>
      <c r="H10" s="11">
        <v>18</v>
      </c>
      <c r="I10" s="11">
        <v>18</v>
      </c>
      <c r="J10" s="11">
        <v>40</v>
      </c>
      <c r="K10" s="27">
        <v>6</v>
      </c>
      <c r="L10" s="26">
        <v>80</v>
      </c>
      <c r="M10" s="11">
        <v>18</v>
      </c>
      <c r="N10" s="11">
        <v>75</v>
      </c>
      <c r="O10" s="11">
        <v>38</v>
      </c>
      <c r="P10" s="11">
        <v>202</v>
      </c>
      <c r="Q10" s="11">
        <v>50</v>
      </c>
      <c r="R10" s="11">
        <v>18</v>
      </c>
      <c r="S10" s="11">
        <v>18</v>
      </c>
      <c r="T10" s="11">
        <v>40</v>
      </c>
      <c r="U10" s="27">
        <v>6</v>
      </c>
      <c r="V10" s="26">
        <v>80</v>
      </c>
      <c r="W10" s="11">
        <v>18</v>
      </c>
      <c r="X10" s="11">
        <v>75</v>
      </c>
      <c r="Y10" s="11">
        <v>38</v>
      </c>
      <c r="Z10" s="11">
        <v>202</v>
      </c>
      <c r="AA10" s="11">
        <v>50</v>
      </c>
      <c r="AB10" s="11">
        <v>18</v>
      </c>
      <c r="AC10" s="11">
        <v>18</v>
      </c>
      <c r="AD10" s="11">
        <v>40</v>
      </c>
      <c r="AE10" s="27">
        <v>6</v>
      </c>
      <c r="AF10" s="26">
        <v>80</v>
      </c>
      <c r="AG10" s="11">
        <v>18</v>
      </c>
      <c r="AH10" s="11">
        <v>75</v>
      </c>
      <c r="AI10" s="11">
        <v>38</v>
      </c>
      <c r="AJ10" s="11">
        <v>202</v>
      </c>
      <c r="AK10" s="11">
        <v>50</v>
      </c>
      <c r="AL10" s="11">
        <v>18</v>
      </c>
      <c r="AM10" s="11">
        <v>18</v>
      </c>
      <c r="AN10" s="11">
        <v>40</v>
      </c>
      <c r="AO10" s="27">
        <v>6</v>
      </c>
      <c r="AP10" s="26">
        <v>80</v>
      </c>
      <c r="AQ10" s="11">
        <v>18</v>
      </c>
      <c r="AR10" s="11">
        <v>75</v>
      </c>
      <c r="AS10" s="11">
        <v>38</v>
      </c>
      <c r="AT10" s="11">
        <v>202</v>
      </c>
      <c r="AU10" s="11">
        <v>50</v>
      </c>
      <c r="AV10" s="11">
        <v>18</v>
      </c>
      <c r="AW10" s="11">
        <v>18</v>
      </c>
      <c r="AX10" s="11">
        <v>40</v>
      </c>
      <c r="AY10" s="27">
        <v>6</v>
      </c>
      <c r="AZ10" s="26">
        <v>80</v>
      </c>
      <c r="BA10" s="11">
        <v>18</v>
      </c>
      <c r="BB10" s="11">
        <v>75</v>
      </c>
      <c r="BC10" s="11">
        <v>38</v>
      </c>
      <c r="BD10" s="11">
        <v>202</v>
      </c>
      <c r="BE10" s="11">
        <v>50</v>
      </c>
      <c r="BF10" s="11">
        <v>18</v>
      </c>
      <c r="BG10" s="11">
        <v>18</v>
      </c>
      <c r="BH10" s="11">
        <v>40</v>
      </c>
      <c r="BI10" s="27">
        <v>6</v>
      </c>
      <c r="BJ10" s="26">
        <v>80</v>
      </c>
      <c r="BK10" s="11">
        <v>18</v>
      </c>
      <c r="BL10" s="11">
        <v>75</v>
      </c>
      <c r="BM10" s="11">
        <v>38</v>
      </c>
      <c r="BN10" s="11">
        <v>202</v>
      </c>
      <c r="BO10" s="11">
        <v>50</v>
      </c>
      <c r="BP10" s="11">
        <v>18</v>
      </c>
      <c r="BQ10" s="11">
        <v>18</v>
      </c>
      <c r="BR10" s="11">
        <v>40</v>
      </c>
      <c r="BS10" s="27">
        <v>6</v>
      </c>
      <c r="BT10" s="26">
        <v>80</v>
      </c>
      <c r="BU10" s="11">
        <v>18</v>
      </c>
      <c r="BV10" s="11">
        <v>75</v>
      </c>
      <c r="BW10" s="11">
        <v>38</v>
      </c>
      <c r="BX10" s="11">
        <v>202</v>
      </c>
      <c r="BY10" s="11">
        <v>50</v>
      </c>
      <c r="BZ10" s="11">
        <v>18</v>
      </c>
      <c r="CA10" s="11">
        <v>18</v>
      </c>
      <c r="CB10" s="11">
        <v>40</v>
      </c>
      <c r="CC10" s="27">
        <v>6</v>
      </c>
      <c r="CD10" s="26">
        <v>80</v>
      </c>
      <c r="CE10" s="11">
        <v>18</v>
      </c>
      <c r="CF10" s="11">
        <v>75</v>
      </c>
      <c r="CG10" s="11">
        <v>38</v>
      </c>
      <c r="CH10" s="11">
        <v>202</v>
      </c>
      <c r="CI10" s="11">
        <v>50</v>
      </c>
      <c r="CJ10" s="11">
        <v>18</v>
      </c>
      <c r="CK10" s="11">
        <v>18</v>
      </c>
      <c r="CL10" s="11">
        <v>40</v>
      </c>
      <c r="CM10" s="27">
        <v>6</v>
      </c>
    </row>
    <row r="11" spans="1:91" ht="28.8" x14ac:dyDescent="0.3">
      <c r="A11" s="45" t="str">
        <v>Equipment Orientation Selection</v>
      </c>
      <c r="B11" s="31" t="str">
        <v>FLC ( 1200 x 1000 x 800) mm</v>
      </c>
      <c r="C11" s="32" t="str">
        <v>FLC ( 1200 x 1000 x 800) mm</v>
      </c>
      <c r="D11" s="32" t="str">
        <v>FLC ( 1200 x 1000 x 800) mm</v>
      </c>
      <c r="E11" s="32" t="str">
        <v>FLC ( 1200 x 1000 x 800) mm</v>
      </c>
      <c r="F11" s="32" t="str">
        <v>FLC ( 1200 x 1000 x 800) mm</v>
      </c>
      <c r="G11" s="32" t="str">
        <v>FLC ( 1200 x 1000 x 800) mm</v>
      </c>
      <c r="H11" s="32" t="str">
        <v>FLC ( 1200 x 1000 x 800) mm</v>
      </c>
      <c r="I11" s="32" t="str">
        <v>FLC ( 1200 x 1000 x 800) mm</v>
      </c>
      <c r="J11" s="32" t="str">
        <v>FLC ( 1200 x 1000 x 800) mm</v>
      </c>
      <c r="K11" s="33" t="str">
        <v>FLC ( 1200 x 1000 x 800) mm</v>
      </c>
      <c r="L11" s="31" t="str">
        <v>FLC ( 1200 x 800 x 975) mm</v>
      </c>
      <c r="M11" s="32" t="str">
        <v>FLC ( 1200 x 800 x 975) mm</v>
      </c>
      <c r="N11" s="32" t="str">
        <v>FLC ( 1200 x 800 x 975) mm</v>
      </c>
      <c r="O11" s="32" t="str">
        <v>FLC ( 1200 x 800 x 975) mm</v>
      </c>
      <c r="P11" s="32" t="str">
        <v>FLC ( 1200 x 800 x 975) mm</v>
      </c>
      <c r="Q11" s="32" t="str">
        <v>FLC ( 1200 x 800 x 975) mm</v>
      </c>
      <c r="R11" s="32" t="str">
        <v>FLC ( 1200 x 800 x 975) mm</v>
      </c>
      <c r="S11" s="32" t="str">
        <v>FLC ( 1200 x 800 x 975) mm</v>
      </c>
      <c r="T11" s="32" t="str">
        <v>FLC ( 1200 x 800 x 975) mm</v>
      </c>
      <c r="U11" s="33" t="str">
        <v>FLC ( 1200 x 800 x 975) mm</v>
      </c>
      <c r="V11" s="31" t="str">
        <v>FCS (810 x 760 x 860)mm</v>
      </c>
      <c r="W11" s="32" t="str">
        <v>FCS (810 x 760 x 860)mm</v>
      </c>
      <c r="X11" s="32" t="str">
        <v>FCS (810 x 760 x 860)mm</v>
      </c>
      <c r="Y11" s="32" t="str">
        <v>FCS (810 x 760 x 860)mm</v>
      </c>
      <c r="Z11" s="32" t="str">
        <v>FCS (810 x 760 x 860)mm</v>
      </c>
      <c r="AA11" s="32" t="str">
        <v>FCS (810 x 760 x 860)mm</v>
      </c>
      <c r="AB11" s="32" t="str">
        <v>FCS (810 x 760 x 860)mm</v>
      </c>
      <c r="AC11" s="32" t="str">
        <v>FCS (810 x 760 x 860)mm</v>
      </c>
      <c r="AD11" s="32" t="str">
        <v>FCS (810 x 760 x 860)mm</v>
      </c>
      <c r="AE11" s="33" t="str">
        <v>FCS (810 x 760 x 860)mm</v>
      </c>
      <c r="AF11" s="31" t="str">
        <v>Crate (600 x 400 x 120) mm</v>
      </c>
      <c r="AG11" s="32" t="str">
        <v>Crate (600 x 400 x 120) mm</v>
      </c>
      <c r="AH11" s="32" t="str">
        <v>Crate (600 x 400 x 120) mm</v>
      </c>
      <c r="AI11" s="32" t="str">
        <v>Crate (600 x 400 x 120) mm</v>
      </c>
      <c r="AJ11" s="32" t="str">
        <v>Crate (600 x 400 x 120) mm</v>
      </c>
      <c r="AK11" s="32" t="str">
        <v>Crate (600 x 400 x 120) mm</v>
      </c>
      <c r="AL11" s="32" t="str">
        <v>Crate (600 x 400 x 120) mm</v>
      </c>
      <c r="AM11" s="32" t="str">
        <v>Crate (600 x 400 x 120) mm</v>
      </c>
      <c r="AN11" s="32" t="str">
        <v>Crate (600 x 400 x 120) mm</v>
      </c>
      <c r="AO11" s="33" t="str">
        <v>Crate (600 x 400 x 120) mm</v>
      </c>
      <c r="AP11" s="31" t="str">
        <v>Crate (600 x 400 x 170) mm</v>
      </c>
      <c r="AQ11" s="32" t="str">
        <v>Crate (600 x 400 x 170) mm</v>
      </c>
      <c r="AR11" s="32" t="str">
        <v>Crate (600 x 400 x 170) mm</v>
      </c>
      <c r="AS11" s="32" t="str">
        <v>Crate (600 x 400 x 170) mm</v>
      </c>
      <c r="AT11" s="32" t="str">
        <v>Crate (600 x 400 x 170) mm</v>
      </c>
      <c r="AU11" s="32" t="str">
        <v>Crate (600 x 400 x 170) mm</v>
      </c>
      <c r="AV11" s="32" t="str">
        <v>Crate (600 x 400 x 170) mm</v>
      </c>
      <c r="AW11" s="32" t="str">
        <v>Crate (600 x 400 x 170) mm</v>
      </c>
      <c r="AX11" s="32" t="str">
        <v>Crate (600 x 400 x 170) mm</v>
      </c>
      <c r="AY11" s="33" t="str">
        <v>Crate (600 x 400 x 170) mm</v>
      </c>
      <c r="AZ11" s="31" t="str">
        <v>Crate (600 x 400 x 220) mm</v>
      </c>
      <c r="BA11" s="32" t="str">
        <v>Crate (600 x 400 x 220) mm</v>
      </c>
      <c r="BB11" s="32" t="str">
        <v>Crate (600 x 400 x 220) mm</v>
      </c>
      <c r="BC11" s="32" t="str">
        <v>Crate (600 x 400 x 220) mm</v>
      </c>
      <c r="BD11" s="32" t="str">
        <v>Crate (600 x 400 x 220) mm</v>
      </c>
      <c r="BE11" s="32" t="str">
        <v>Crate (600 x 400 x 220) mm</v>
      </c>
      <c r="BF11" s="32" t="str">
        <v>Crate (600 x 400 x 220) mm</v>
      </c>
      <c r="BG11" s="32" t="str">
        <v>Crate (600 x 400 x 220) mm</v>
      </c>
      <c r="BH11" s="32" t="str">
        <v>Crate (600 x 400 x 220) mm</v>
      </c>
      <c r="BI11" s="33" t="str">
        <v>Crate (600 x 400 x 220) mm</v>
      </c>
      <c r="BJ11" s="31" t="str">
        <v>Crate (400 x 300 x 120) mm</v>
      </c>
      <c r="BK11" s="32" t="str">
        <v>Crate (400 x 300 x 120) mm</v>
      </c>
      <c r="BL11" s="32" t="str">
        <v>Crate (400 x 300 x 120) mm</v>
      </c>
      <c r="BM11" s="32" t="str">
        <v>Crate (400 x 300 x 120) mm</v>
      </c>
      <c r="BN11" s="32" t="str">
        <v>Crate (400 x 300 x 120) mm</v>
      </c>
      <c r="BO11" s="32" t="str">
        <v>Crate (400 x 300 x 120) mm</v>
      </c>
      <c r="BP11" s="32" t="str">
        <v>Crate (400 x 300 x 120) mm</v>
      </c>
      <c r="BQ11" s="32" t="str">
        <v>Crate (400 x 300 x 120) mm</v>
      </c>
      <c r="BR11" s="32" t="str">
        <v>Crate (400 x 300 x 120) mm</v>
      </c>
      <c r="BS11" s="33" t="str">
        <v>Crate (400 x 300 x 120) mm</v>
      </c>
      <c r="BT11" s="31" t="str">
        <v>Crate (400 x 300 x 170) mm</v>
      </c>
      <c r="BU11" s="32" t="str">
        <v>Crate (400 x 300 x 170) mm</v>
      </c>
      <c r="BV11" s="32" t="str">
        <v>Crate (400 x 300 x 170) mm</v>
      </c>
      <c r="BW11" s="32" t="str">
        <v>Crate (400 x 300 x 170) mm</v>
      </c>
      <c r="BX11" s="32" t="str">
        <v>Crate (400 x 300 x 170) mm</v>
      </c>
      <c r="BY11" s="32" t="str">
        <v>Crate (400 x 300 x 170) mm</v>
      </c>
      <c r="BZ11" s="32" t="str">
        <v>Crate (400 x 300 x 170) mm</v>
      </c>
      <c r="CA11" s="32" t="str">
        <v>Crate (400 x 300 x 170) mm</v>
      </c>
      <c r="CB11" s="32" t="str">
        <v>Crate (400 x 300 x 170) mm</v>
      </c>
      <c r="CC11" s="33" t="str">
        <v>Crate (400 x 300 x 170) mm</v>
      </c>
      <c r="CD11" s="31" t="str">
        <v>Crate (400 x 300 x 220) mm</v>
      </c>
      <c r="CE11" s="32" t="str">
        <v>Crate (400 x 300 x 220) mm</v>
      </c>
      <c r="CF11" s="32" t="str">
        <v>Crate (400 x 300 x 220) mm</v>
      </c>
      <c r="CG11" s="32" t="str">
        <v>Crate (400 x 300 x 220) mm</v>
      </c>
      <c r="CH11" s="32" t="str">
        <v>Crate (400 x 300 x 220) mm</v>
      </c>
      <c r="CI11" s="32" t="str">
        <v>Crate (400 x 300 x 220) mm</v>
      </c>
      <c r="CJ11" s="32" t="str">
        <v>Crate (400 x 300 x 220) mm</v>
      </c>
      <c r="CK11" s="32" t="str">
        <v>Crate (400 x 300 x 220) mm</v>
      </c>
      <c r="CL11" s="32" t="str">
        <v>Crate (400 x 300 x 220) mm</v>
      </c>
      <c r="CM11" s="33" t="str">
        <v>Crate (400 x 300 x 220) mm</v>
      </c>
    </row>
    <row r="12" spans="1:91" x14ac:dyDescent="0.3">
      <c r="A12" s="44" t="str">
        <v>LXL - GLT Size ID(mm)</v>
      </c>
      <c r="B12" s="26">
        <v>1120</v>
      </c>
      <c r="C12" s="11">
        <v>1120</v>
      </c>
      <c r="D12" s="11">
        <v>1120</v>
      </c>
      <c r="E12" s="11">
        <v>1120</v>
      </c>
      <c r="F12" s="11">
        <v>1120</v>
      </c>
      <c r="G12" s="11">
        <v>1120</v>
      </c>
      <c r="H12" s="11">
        <v>1120</v>
      </c>
      <c r="I12" s="11">
        <v>1120</v>
      </c>
      <c r="J12" s="11">
        <v>1120</v>
      </c>
      <c r="K12" s="27">
        <v>1120</v>
      </c>
      <c r="L12" s="26">
        <v>1155</v>
      </c>
      <c r="M12" s="11">
        <v>1155</v>
      </c>
      <c r="N12" s="11">
        <v>1155</v>
      </c>
      <c r="O12" s="11">
        <v>1155</v>
      </c>
      <c r="P12" s="11">
        <v>1155</v>
      </c>
      <c r="Q12" s="11">
        <v>1155</v>
      </c>
      <c r="R12" s="11">
        <v>1155</v>
      </c>
      <c r="S12" s="11">
        <v>1155</v>
      </c>
      <c r="T12" s="11">
        <v>1155</v>
      </c>
      <c r="U12" s="27">
        <v>1155</v>
      </c>
      <c r="V12" s="26">
        <v>780</v>
      </c>
      <c r="W12" s="11">
        <v>780</v>
      </c>
      <c r="X12" s="11">
        <v>780</v>
      </c>
      <c r="Y12" s="11">
        <v>780</v>
      </c>
      <c r="Z12" s="11">
        <v>780</v>
      </c>
      <c r="AA12" s="11">
        <v>780</v>
      </c>
      <c r="AB12" s="11">
        <v>780</v>
      </c>
      <c r="AC12" s="11">
        <v>780</v>
      </c>
      <c r="AD12" s="11">
        <v>780</v>
      </c>
      <c r="AE12" s="27">
        <v>780</v>
      </c>
      <c r="AF12" s="26">
        <v>560</v>
      </c>
      <c r="AG12" s="11">
        <v>560</v>
      </c>
      <c r="AH12" s="11">
        <v>560</v>
      </c>
      <c r="AI12" s="11">
        <v>560</v>
      </c>
      <c r="AJ12" s="11">
        <v>560</v>
      </c>
      <c r="AK12" s="11">
        <v>560</v>
      </c>
      <c r="AL12" s="11">
        <v>560</v>
      </c>
      <c r="AM12" s="11">
        <v>560</v>
      </c>
      <c r="AN12" s="11">
        <v>560</v>
      </c>
      <c r="AO12" s="27">
        <v>560</v>
      </c>
      <c r="AP12" s="26">
        <v>560</v>
      </c>
      <c r="AQ12" s="11">
        <v>560</v>
      </c>
      <c r="AR12" s="11">
        <v>560</v>
      </c>
      <c r="AS12" s="11">
        <v>560</v>
      </c>
      <c r="AT12" s="11">
        <v>560</v>
      </c>
      <c r="AU12" s="11">
        <v>560</v>
      </c>
      <c r="AV12" s="11">
        <v>560</v>
      </c>
      <c r="AW12" s="11">
        <v>560</v>
      </c>
      <c r="AX12" s="11">
        <v>560</v>
      </c>
      <c r="AY12" s="27">
        <v>560</v>
      </c>
      <c r="AZ12" s="26">
        <v>560</v>
      </c>
      <c r="BA12" s="11">
        <v>560</v>
      </c>
      <c r="BB12" s="11">
        <v>560</v>
      </c>
      <c r="BC12" s="11">
        <v>560</v>
      </c>
      <c r="BD12" s="11">
        <v>560</v>
      </c>
      <c r="BE12" s="11">
        <v>560</v>
      </c>
      <c r="BF12" s="11">
        <v>560</v>
      </c>
      <c r="BG12" s="11">
        <v>560</v>
      </c>
      <c r="BH12" s="11">
        <v>560</v>
      </c>
      <c r="BI12" s="27">
        <v>560</v>
      </c>
      <c r="BJ12" s="26">
        <v>360</v>
      </c>
      <c r="BK12" s="11">
        <v>360</v>
      </c>
      <c r="BL12" s="11">
        <v>360</v>
      </c>
      <c r="BM12" s="11">
        <v>360</v>
      </c>
      <c r="BN12" s="11">
        <v>360</v>
      </c>
      <c r="BO12" s="11">
        <v>360</v>
      </c>
      <c r="BP12" s="11">
        <v>360</v>
      </c>
      <c r="BQ12" s="11">
        <v>360</v>
      </c>
      <c r="BR12" s="11">
        <v>360</v>
      </c>
      <c r="BS12" s="27">
        <v>360</v>
      </c>
      <c r="BT12" s="26">
        <v>360</v>
      </c>
      <c r="BU12" s="11">
        <v>360</v>
      </c>
      <c r="BV12" s="11">
        <v>360</v>
      </c>
      <c r="BW12" s="11">
        <v>360</v>
      </c>
      <c r="BX12" s="11">
        <v>360</v>
      </c>
      <c r="BY12" s="11">
        <v>360</v>
      </c>
      <c r="BZ12" s="11">
        <v>360</v>
      </c>
      <c r="CA12" s="11">
        <v>360</v>
      </c>
      <c r="CB12" s="11">
        <v>360</v>
      </c>
      <c r="CC12" s="27">
        <v>360</v>
      </c>
      <c r="CD12" s="26">
        <v>360</v>
      </c>
      <c r="CE12" s="11">
        <v>360</v>
      </c>
      <c r="CF12" s="11">
        <v>360</v>
      </c>
      <c r="CG12" s="11">
        <v>360</v>
      </c>
      <c r="CH12" s="11">
        <v>360</v>
      </c>
      <c r="CI12" s="11">
        <v>360</v>
      </c>
      <c r="CJ12" s="11">
        <v>360</v>
      </c>
      <c r="CK12" s="11">
        <v>360</v>
      </c>
      <c r="CL12" s="11">
        <v>360</v>
      </c>
      <c r="CM12" s="27">
        <v>360</v>
      </c>
    </row>
    <row r="13" spans="1:91" x14ac:dyDescent="0.3">
      <c r="A13" s="44" t="str">
        <v>LXL - GLT Size ID(mm)</v>
      </c>
      <c r="B13" s="26">
        <v>920</v>
      </c>
      <c r="C13" s="11">
        <v>920</v>
      </c>
      <c r="D13" s="11">
        <v>920</v>
      </c>
      <c r="E13" s="11">
        <v>920</v>
      </c>
      <c r="F13" s="11">
        <v>920</v>
      </c>
      <c r="G13" s="11">
        <v>920</v>
      </c>
      <c r="H13" s="11">
        <v>920</v>
      </c>
      <c r="I13" s="11">
        <v>920</v>
      </c>
      <c r="J13" s="11">
        <v>920</v>
      </c>
      <c r="K13" s="27">
        <v>920</v>
      </c>
      <c r="L13" s="26">
        <v>755</v>
      </c>
      <c r="M13" s="11">
        <v>755</v>
      </c>
      <c r="N13" s="11">
        <v>755</v>
      </c>
      <c r="O13" s="11">
        <v>755</v>
      </c>
      <c r="P13" s="11">
        <v>755</v>
      </c>
      <c r="Q13" s="11">
        <v>755</v>
      </c>
      <c r="R13" s="11">
        <v>755</v>
      </c>
      <c r="S13" s="11">
        <v>755</v>
      </c>
      <c r="T13" s="11">
        <v>755</v>
      </c>
      <c r="U13" s="27">
        <v>755</v>
      </c>
      <c r="V13" s="26">
        <v>730</v>
      </c>
      <c r="W13" s="11">
        <v>730</v>
      </c>
      <c r="X13" s="11">
        <v>730</v>
      </c>
      <c r="Y13" s="11">
        <v>730</v>
      </c>
      <c r="Z13" s="11">
        <v>730</v>
      </c>
      <c r="AA13" s="11">
        <v>730</v>
      </c>
      <c r="AB13" s="11">
        <v>730</v>
      </c>
      <c r="AC13" s="11">
        <v>730</v>
      </c>
      <c r="AD13" s="11">
        <v>730</v>
      </c>
      <c r="AE13" s="27">
        <v>730</v>
      </c>
      <c r="AF13" s="26">
        <v>360</v>
      </c>
      <c r="AG13" s="11">
        <v>360</v>
      </c>
      <c r="AH13" s="11">
        <v>360</v>
      </c>
      <c r="AI13" s="11">
        <v>360</v>
      </c>
      <c r="AJ13" s="11">
        <v>360</v>
      </c>
      <c r="AK13" s="11">
        <v>360</v>
      </c>
      <c r="AL13" s="11">
        <v>360</v>
      </c>
      <c r="AM13" s="11">
        <v>360</v>
      </c>
      <c r="AN13" s="11">
        <v>360</v>
      </c>
      <c r="AO13" s="27">
        <v>360</v>
      </c>
      <c r="AP13" s="26">
        <v>360</v>
      </c>
      <c r="AQ13" s="11">
        <v>360</v>
      </c>
      <c r="AR13" s="11">
        <v>360</v>
      </c>
      <c r="AS13" s="11">
        <v>360</v>
      </c>
      <c r="AT13" s="11">
        <v>360</v>
      </c>
      <c r="AU13" s="11">
        <v>360</v>
      </c>
      <c r="AV13" s="11">
        <v>360</v>
      </c>
      <c r="AW13" s="11">
        <v>360</v>
      </c>
      <c r="AX13" s="11">
        <v>360</v>
      </c>
      <c r="AY13" s="27">
        <v>360</v>
      </c>
      <c r="AZ13" s="26">
        <v>360</v>
      </c>
      <c r="BA13" s="11">
        <v>360</v>
      </c>
      <c r="BB13" s="11">
        <v>360</v>
      </c>
      <c r="BC13" s="11">
        <v>360</v>
      </c>
      <c r="BD13" s="11">
        <v>360</v>
      </c>
      <c r="BE13" s="11">
        <v>360</v>
      </c>
      <c r="BF13" s="11">
        <v>360</v>
      </c>
      <c r="BG13" s="11">
        <v>360</v>
      </c>
      <c r="BH13" s="11">
        <v>360</v>
      </c>
      <c r="BI13" s="27">
        <v>360</v>
      </c>
      <c r="BJ13" s="26">
        <v>260</v>
      </c>
      <c r="BK13" s="11">
        <v>260</v>
      </c>
      <c r="BL13" s="11">
        <v>260</v>
      </c>
      <c r="BM13" s="11">
        <v>260</v>
      </c>
      <c r="BN13" s="11">
        <v>260</v>
      </c>
      <c r="BO13" s="11">
        <v>260</v>
      </c>
      <c r="BP13" s="11">
        <v>260</v>
      </c>
      <c r="BQ13" s="11">
        <v>260</v>
      </c>
      <c r="BR13" s="11">
        <v>260</v>
      </c>
      <c r="BS13" s="27">
        <v>260</v>
      </c>
      <c r="BT13" s="26">
        <v>260</v>
      </c>
      <c r="BU13" s="11">
        <v>260</v>
      </c>
      <c r="BV13" s="11">
        <v>260</v>
      </c>
      <c r="BW13" s="11">
        <v>260</v>
      </c>
      <c r="BX13" s="11">
        <v>260</v>
      </c>
      <c r="BY13" s="11">
        <v>260</v>
      </c>
      <c r="BZ13" s="11">
        <v>260</v>
      </c>
      <c r="CA13" s="11">
        <v>260</v>
      </c>
      <c r="CB13" s="11">
        <v>260</v>
      </c>
      <c r="CC13" s="27">
        <v>260</v>
      </c>
      <c r="CD13" s="26">
        <v>260</v>
      </c>
      <c r="CE13" s="11">
        <v>260</v>
      </c>
      <c r="CF13" s="11">
        <v>260</v>
      </c>
      <c r="CG13" s="11">
        <v>260</v>
      </c>
      <c r="CH13" s="11">
        <v>260</v>
      </c>
      <c r="CI13" s="11">
        <v>260</v>
      </c>
      <c r="CJ13" s="11">
        <v>260</v>
      </c>
      <c r="CK13" s="11">
        <v>260</v>
      </c>
      <c r="CL13" s="11">
        <v>260</v>
      </c>
      <c r="CM13" s="27">
        <v>260</v>
      </c>
    </row>
    <row r="14" spans="1:91" x14ac:dyDescent="0.3">
      <c r="A14" s="44" t="str">
        <v>LXL - GLT Size ID(mm)</v>
      </c>
      <c r="B14" s="26">
        <v>640</v>
      </c>
      <c r="C14" s="11">
        <v>640</v>
      </c>
      <c r="D14" s="11">
        <v>640</v>
      </c>
      <c r="E14" s="11">
        <v>640</v>
      </c>
      <c r="F14" s="11">
        <v>640</v>
      </c>
      <c r="G14" s="11">
        <v>640</v>
      </c>
      <c r="H14" s="11">
        <v>640</v>
      </c>
      <c r="I14" s="11">
        <v>640</v>
      </c>
      <c r="J14" s="11">
        <v>640</v>
      </c>
      <c r="K14" s="27">
        <v>640</v>
      </c>
      <c r="L14" s="26">
        <v>780</v>
      </c>
      <c r="M14" s="11">
        <v>780</v>
      </c>
      <c r="N14" s="11">
        <v>780</v>
      </c>
      <c r="O14" s="11">
        <v>780</v>
      </c>
      <c r="P14" s="11">
        <v>780</v>
      </c>
      <c r="Q14" s="11">
        <v>780</v>
      </c>
      <c r="R14" s="11">
        <v>780</v>
      </c>
      <c r="S14" s="11">
        <v>780</v>
      </c>
      <c r="T14" s="11">
        <v>780</v>
      </c>
      <c r="U14" s="27">
        <v>780</v>
      </c>
      <c r="V14" s="26">
        <v>720</v>
      </c>
      <c r="W14" s="11">
        <v>720</v>
      </c>
      <c r="X14" s="11">
        <v>720</v>
      </c>
      <c r="Y14" s="11">
        <v>720</v>
      </c>
      <c r="Z14" s="11">
        <v>720</v>
      </c>
      <c r="AA14" s="11">
        <v>720</v>
      </c>
      <c r="AB14" s="11">
        <v>720</v>
      </c>
      <c r="AC14" s="11">
        <v>720</v>
      </c>
      <c r="AD14" s="11">
        <v>720</v>
      </c>
      <c r="AE14" s="27">
        <v>720</v>
      </c>
      <c r="AF14" s="26">
        <v>105</v>
      </c>
      <c r="AG14" s="11">
        <v>105</v>
      </c>
      <c r="AH14" s="11">
        <v>105</v>
      </c>
      <c r="AI14" s="11">
        <v>105</v>
      </c>
      <c r="AJ14" s="11">
        <v>105</v>
      </c>
      <c r="AK14" s="11">
        <v>105</v>
      </c>
      <c r="AL14" s="11">
        <v>105</v>
      </c>
      <c r="AM14" s="11">
        <v>105</v>
      </c>
      <c r="AN14" s="11">
        <v>105</v>
      </c>
      <c r="AO14" s="27">
        <v>105</v>
      </c>
      <c r="AP14" s="26">
        <v>155</v>
      </c>
      <c r="AQ14" s="11">
        <v>155</v>
      </c>
      <c r="AR14" s="11">
        <v>155</v>
      </c>
      <c r="AS14" s="11">
        <v>155</v>
      </c>
      <c r="AT14" s="11">
        <v>155</v>
      </c>
      <c r="AU14" s="11">
        <v>155</v>
      </c>
      <c r="AV14" s="11">
        <v>155</v>
      </c>
      <c r="AW14" s="11">
        <v>155</v>
      </c>
      <c r="AX14" s="11">
        <v>155</v>
      </c>
      <c r="AY14" s="27">
        <v>155</v>
      </c>
      <c r="AZ14" s="26">
        <v>205</v>
      </c>
      <c r="BA14" s="11">
        <v>205</v>
      </c>
      <c r="BB14" s="11">
        <v>205</v>
      </c>
      <c r="BC14" s="11">
        <v>205</v>
      </c>
      <c r="BD14" s="11">
        <v>205</v>
      </c>
      <c r="BE14" s="11">
        <v>205</v>
      </c>
      <c r="BF14" s="11">
        <v>205</v>
      </c>
      <c r="BG14" s="11">
        <v>205</v>
      </c>
      <c r="BH14" s="11">
        <v>205</v>
      </c>
      <c r="BI14" s="27">
        <v>205</v>
      </c>
      <c r="BJ14" s="26">
        <v>105</v>
      </c>
      <c r="BK14" s="11">
        <v>105</v>
      </c>
      <c r="BL14" s="11">
        <v>105</v>
      </c>
      <c r="BM14" s="11">
        <v>105</v>
      </c>
      <c r="BN14" s="11">
        <v>105</v>
      </c>
      <c r="BO14" s="11">
        <v>105</v>
      </c>
      <c r="BP14" s="11">
        <v>105</v>
      </c>
      <c r="BQ14" s="11">
        <v>105</v>
      </c>
      <c r="BR14" s="11">
        <v>105</v>
      </c>
      <c r="BS14" s="27">
        <v>105</v>
      </c>
      <c r="BT14" s="26">
        <v>155</v>
      </c>
      <c r="BU14" s="11">
        <v>155</v>
      </c>
      <c r="BV14" s="11">
        <v>155</v>
      </c>
      <c r="BW14" s="11">
        <v>155</v>
      </c>
      <c r="BX14" s="11">
        <v>155</v>
      </c>
      <c r="BY14" s="11">
        <v>155</v>
      </c>
      <c r="BZ14" s="11">
        <v>155</v>
      </c>
      <c r="CA14" s="11">
        <v>155</v>
      </c>
      <c r="CB14" s="11">
        <v>155</v>
      </c>
      <c r="CC14" s="27">
        <v>155</v>
      </c>
      <c r="CD14" s="26">
        <v>205</v>
      </c>
      <c r="CE14" s="11">
        <v>205</v>
      </c>
      <c r="CF14" s="11">
        <v>205</v>
      </c>
      <c r="CG14" s="11">
        <v>205</v>
      </c>
      <c r="CH14" s="11">
        <v>205</v>
      </c>
      <c r="CI14" s="11">
        <v>205</v>
      </c>
      <c r="CJ14" s="11">
        <v>205</v>
      </c>
      <c r="CK14" s="11">
        <v>205</v>
      </c>
      <c r="CL14" s="11">
        <v>205</v>
      </c>
      <c r="CM14" s="27">
        <v>205</v>
      </c>
    </row>
    <row r="15" spans="1:91" x14ac:dyDescent="0.3">
      <c r="A15" s="44" t="str">
        <v>LXL - Packet Array  L</v>
      </c>
      <c r="B15" s="26">
        <v>4</v>
      </c>
      <c r="C15" s="11">
        <v>4</v>
      </c>
      <c r="D15" s="11">
        <v>2</v>
      </c>
      <c r="E15" s="11">
        <v>3</v>
      </c>
      <c r="F15" s="11">
        <v>2</v>
      </c>
      <c r="G15" s="11">
        <v>2</v>
      </c>
      <c r="H15" s="11">
        <v>8</v>
      </c>
      <c r="I15" s="11">
        <v>8</v>
      </c>
      <c r="J15" s="11">
        <v>6</v>
      </c>
      <c r="K15" s="27">
        <v>4</v>
      </c>
      <c r="L15" s="26">
        <v>4</v>
      </c>
      <c r="M15" s="11">
        <v>5</v>
      </c>
      <c r="N15" s="11">
        <v>2</v>
      </c>
      <c r="O15" s="11">
        <v>3</v>
      </c>
      <c r="P15" s="11">
        <v>2</v>
      </c>
      <c r="Q15" s="11">
        <v>3</v>
      </c>
      <c r="R15" s="11">
        <v>8</v>
      </c>
      <c r="S15" s="11">
        <v>8</v>
      </c>
      <c r="T15" s="11">
        <v>6</v>
      </c>
      <c r="U15" s="27">
        <v>5</v>
      </c>
      <c r="V15" s="26">
        <v>2</v>
      </c>
      <c r="W15" s="11">
        <v>3</v>
      </c>
      <c r="X15" s="11">
        <v>1</v>
      </c>
      <c r="Y15" s="11">
        <v>2</v>
      </c>
      <c r="Z15" s="11">
        <v>1</v>
      </c>
      <c r="AA15" s="11">
        <v>2</v>
      </c>
      <c r="AB15" s="11">
        <v>5</v>
      </c>
      <c r="AC15" s="11">
        <v>5</v>
      </c>
      <c r="AD15" s="11">
        <v>4</v>
      </c>
      <c r="AE15" s="27">
        <v>3</v>
      </c>
      <c r="AF15" s="26">
        <v>2</v>
      </c>
      <c r="AG15" s="11">
        <v>2</v>
      </c>
      <c r="AH15" s="11">
        <v>1</v>
      </c>
      <c r="AI15" s="11">
        <v>1</v>
      </c>
      <c r="AJ15" s="11">
        <v>1</v>
      </c>
      <c r="AK15" s="11">
        <v>1</v>
      </c>
      <c r="AL15" s="11">
        <v>4</v>
      </c>
      <c r="AM15" s="11">
        <v>4</v>
      </c>
      <c r="AN15" s="11">
        <v>3</v>
      </c>
      <c r="AO15" s="27">
        <v>2</v>
      </c>
      <c r="AP15" s="26">
        <v>2</v>
      </c>
      <c r="AQ15" s="11">
        <v>2</v>
      </c>
      <c r="AR15" s="11">
        <v>1</v>
      </c>
      <c r="AS15" s="11">
        <v>1</v>
      </c>
      <c r="AT15" s="11">
        <v>1</v>
      </c>
      <c r="AU15" s="11">
        <v>1</v>
      </c>
      <c r="AV15" s="11">
        <v>4</v>
      </c>
      <c r="AW15" s="11">
        <v>4</v>
      </c>
      <c r="AX15" s="11">
        <v>3</v>
      </c>
      <c r="AY15" s="27">
        <v>2</v>
      </c>
      <c r="AZ15" s="26">
        <v>2</v>
      </c>
      <c r="BA15" s="11">
        <v>2</v>
      </c>
      <c r="BB15" s="11">
        <v>1</v>
      </c>
      <c r="BC15" s="11">
        <v>1</v>
      </c>
      <c r="BD15" s="11">
        <v>1</v>
      </c>
      <c r="BE15" s="11">
        <v>1</v>
      </c>
      <c r="BF15" s="11">
        <v>4</v>
      </c>
      <c r="BG15" s="11">
        <v>4</v>
      </c>
      <c r="BH15" s="11">
        <v>3</v>
      </c>
      <c r="BI15" s="27">
        <v>2</v>
      </c>
      <c r="BJ15" s="26">
        <v>1</v>
      </c>
      <c r="BK15" s="11">
        <v>1</v>
      </c>
      <c r="BL15" s="11">
        <v>0</v>
      </c>
      <c r="BM15" s="11">
        <v>0</v>
      </c>
      <c r="BN15" s="11">
        <v>0</v>
      </c>
      <c r="BO15" s="11">
        <v>0</v>
      </c>
      <c r="BP15" s="11">
        <v>2</v>
      </c>
      <c r="BQ15" s="11">
        <v>2</v>
      </c>
      <c r="BR15" s="11">
        <v>2</v>
      </c>
      <c r="BS15" s="27">
        <v>1</v>
      </c>
      <c r="BT15" s="26">
        <v>1</v>
      </c>
      <c r="BU15" s="11">
        <v>1</v>
      </c>
      <c r="BV15" s="11">
        <v>0</v>
      </c>
      <c r="BW15" s="11">
        <v>0</v>
      </c>
      <c r="BX15" s="11">
        <v>0</v>
      </c>
      <c r="BY15" s="11">
        <v>0</v>
      </c>
      <c r="BZ15" s="11">
        <v>2</v>
      </c>
      <c r="CA15" s="11">
        <v>2</v>
      </c>
      <c r="CB15" s="11">
        <v>2</v>
      </c>
      <c r="CC15" s="27">
        <v>1</v>
      </c>
      <c r="CD15" s="26">
        <v>1</v>
      </c>
      <c r="CE15" s="11">
        <v>1</v>
      </c>
      <c r="CF15" s="11">
        <v>0</v>
      </c>
      <c r="CG15" s="11">
        <v>0</v>
      </c>
      <c r="CH15" s="11">
        <v>0</v>
      </c>
      <c r="CI15" s="11">
        <v>0</v>
      </c>
      <c r="CJ15" s="11">
        <v>2</v>
      </c>
      <c r="CK15" s="11">
        <v>2</v>
      </c>
      <c r="CL15" s="11">
        <v>2</v>
      </c>
      <c r="CM15" s="27">
        <v>1</v>
      </c>
    </row>
    <row r="16" spans="1:91" x14ac:dyDescent="0.3">
      <c r="A16" s="44" t="str">
        <v>LXL - Packet Array  W</v>
      </c>
      <c r="B16" s="26">
        <v>11</v>
      </c>
      <c r="C16" s="11">
        <v>7</v>
      </c>
      <c r="D16" s="11">
        <v>8</v>
      </c>
      <c r="E16" s="11">
        <v>13</v>
      </c>
      <c r="F16" s="11">
        <v>3</v>
      </c>
      <c r="G16" s="11">
        <v>8</v>
      </c>
      <c r="H16" s="11">
        <v>16</v>
      </c>
      <c r="I16" s="11">
        <v>16</v>
      </c>
      <c r="J16" s="11">
        <v>12</v>
      </c>
      <c r="K16" s="27">
        <v>12</v>
      </c>
      <c r="L16" s="26">
        <v>9</v>
      </c>
      <c r="M16" s="11">
        <v>5</v>
      </c>
      <c r="N16" s="11">
        <v>7</v>
      </c>
      <c r="O16" s="11">
        <v>11</v>
      </c>
      <c r="P16" s="11">
        <v>2</v>
      </c>
      <c r="Q16" s="11">
        <v>6</v>
      </c>
      <c r="R16" s="11">
        <v>13</v>
      </c>
      <c r="S16" s="11">
        <v>13</v>
      </c>
      <c r="T16" s="11">
        <v>10</v>
      </c>
      <c r="U16" s="27">
        <v>10</v>
      </c>
      <c r="V16" s="26">
        <v>9</v>
      </c>
      <c r="W16" s="11">
        <v>5</v>
      </c>
      <c r="X16" s="11">
        <v>6</v>
      </c>
      <c r="Y16" s="11">
        <v>10</v>
      </c>
      <c r="Z16" s="11">
        <v>2</v>
      </c>
      <c r="AA16" s="11">
        <v>6</v>
      </c>
      <c r="AB16" s="11">
        <v>13</v>
      </c>
      <c r="AC16" s="11">
        <v>13</v>
      </c>
      <c r="AD16" s="11">
        <v>9</v>
      </c>
      <c r="AE16" s="27">
        <v>9</v>
      </c>
      <c r="AF16" s="26">
        <v>4</v>
      </c>
      <c r="AG16" s="11">
        <v>2</v>
      </c>
      <c r="AH16" s="11">
        <v>3</v>
      </c>
      <c r="AI16" s="11">
        <v>5</v>
      </c>
      <c r="AJ16" s="11">
        <v>1</v>
      </c>
      <c r="AK16" s="11">
        <v>3</v>
      </c>
      <c r="AL16" s="11">
        <v>6</v>
      </c>
      <c r="AM16" s="11">
        <v>6</v>
      </c>
      <c r="AN16" s="11">
        <v>4</v>
      </c>
      <c r="AO16" s="27">
        <v>4</v>
      </c>
      <c r="AP16" s="26">
        <v>4</v>
      </c>
      <c r="AQ16" s="11">
        <v>2</v>
      </c>
      <c r="AR16" s="11">
        <v>3</v>
      </c>
      <c r="AS16" s="11">
        <v>5</v>
      </c>
      <c r="AT16" s="11">
        <v>1</v>
      </c>
      <c r="AU16" s="11">
        <v>3</v>
      </c>
      <c r="AV16" s="11">
        <v>6</v>
      </c>
      <c r="AW16" s="11">
        <v>6</v>
      </c>
      <c r="AX16" s="11">
        <v>4</v>
      </c>
      <c r="AY16" s="27">
        <v>4</v>
      </c>
      <c r="AZ16" s="26">
        <v>4</v>
      </c>
      <c r="BA16" s="11">
        <v>2</v>
      </c>
      <c r="BB16" s="11">
        <v>3</v>
      </c>
      <c r="BC16" s="11">
        <v>5</v>
      </c>
      <c r="BD16" s="11">
        <v>1</v>
      </c>
      <c r="BE16" s="11">
        <v>3</v>
      </c>
      <c r="BF16" s="11">
        <v>6</v>
      </c>
      <c r="BG16" s="11">
        <v>6</v>
      </c>
      <c r="BH16" s="11">
        <v>4</v>
      </c>
      <c r="BI16" s="27">
        <v>4</v>
      </c>
      <c r="BJ16" s="26">
        <v>3</v>
      </c>
      <c r="BK16" s="11">
        <v>2</v>
      </c>
      <c r="BL16" s="11">
        <v>2</v>
      </c>
      <c r="BM16" s="11">
        <v>3</v>
      </c>
      <c r="BN16" s="11">
        <v>0</v>
      </c>
      <c r="BO16" s="11">
        <v>2</v>
      </c>
      <c r="BP16" s="11">
        <v>4</v>
      </c>
      <c r="BQ16" s="11">
        <v>4</v>
      </c>
      <c r="BR16" s="11">
        <v>3</v>
      </c>
      <c r="BS16" s="27">
        <v>3</v>
      </c>
      <c r="BT16" s="26">
        <v>3</v>
      </c>
      <c r="BU16" s="11">
        <v>2</v>
      </c>
      <c r="BV16" s="11">
        <v>2</v>
      </c>
      <c r="BW16" s="11">
        <v>3</v>
      </c>
      <c r="BX16" s="11">
        <v>0</v>
      </c>
      <c r="BY16" s="11">
        <v>2</v>
      </c>
      <c r="BZ16" s="11">
        <v>4</v>
      </c>
      <c r="CA16" s="11">
        <v>4</v>
      </c>
      <c r="CB16" s="11">
        <v>3</v>
      </c>
      <c r="CC16" s="27">
        <v>3</v>
      </c>
      <c r="CD16" s="26">
        <v>3</v>
      </c>
      <c r="CE16" s="11">
        <v>2</v>
      </c>
      <c r="CF16" s="11">
        <v>2</v>
      </c>
      <c r="CG16" s="11">
        <v>3</v>
      </c>
      <c r="CH16" s="11">
        <v>0</v>
      </c>
      <c r="CI16" s="11">
        <v>2</v>
      </c>
      <c r="CJ16" s="11">
        <v>4</v>
      </c>
      <c r="CK16" s="11">
        <v>4</v>
      </c>
      <c r="CL16" s="11">
        <v>3</v>
      </c>
      <c r="CM16" s="27">
        <v>3</v>
      </c>
    </row>
    <row r="17" spans="1:91" x14ac:dyDescent="0.3">
      <c r="A17" s="44" t="str">
        <v>LXL - Packet Array  H</v>
      </c>
      <c r="B17" s="26">
        <v>1</v>
      </c>
      <c r="C17" s="11">
        <v>3</v>
      </c>
      <c r="D17" s="11">
        <v>2</v>
      </c>
      <c r="E17" s="11">
        <v>2</v>
      </c>
      <c r="F17" s="11">
        <v>3</v>
      </c>
      <c r="G17" s="11">
        <v>2</v>
      </c>
      <c r="H17" s="11">
        <v>1</v>
      </c>
      <c r="I17" s="11">
        <v>1</v>
      </c>
      <c r="J17" s="11">
        <v>2</v>
      </c>
      <c r="K17" s="27">
        <v>2</v>
      </c>
      <c r="L17" s="26">
        <v>1</v>
      </c>
      <c r="M17" s="11">
        <v>4</v>
      </c>
      <c r="N17" s="11">
        <v>3</v>
      </c>
      <c r="O17" s="11">
        <v>3</v>
      </c>
      <c r="P17" s="11">
        <v>4</v>
      </c>
      <c r="Q17" s="11">
        <v>2</v>
      </c>
      <c r="R17" s="11">
        <v>2</v>
      </c>
      <c r="S17" s="11">
        <v>2</v>
      </c>
      <c r="T17" s="11">
        <v>2</v>
      </c>
      <c r="U17" s="27">
        <v>2</v>
      </c>
      <c r="V17" s="26">
        <v>1</v>
      </c>
      <c r="W17" s="11">
        <v>3</v>
      </c>
      <c r="X17" s="11">
        <v>3</v>
      </c>
      <c r="Y17" s="11">
        <v>3</v>
      </c>
      <c r="Z17" s="11">
        <v>4</v>
      </c>
      <c r="AA17" s="11">
        <v>2</v>
      </c>
      <c r="AB17" s="11">
        <v>1</v>
      </c>
      <c r="AC17" s="11">
        <v>1</v>
      </c>
      <c r="AD17" s="11">
        <v>2</v>
      </c>
      <c r="AE17" s="27">
        <v>2</v>
      </c>
      <c r="AF17" s="26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27">
        <v>0</v>
      </c>
      <c r="AP17" s="26">
        <v>0</v>
      </c>
      <c r="AQ17" s="11">
        <v>0</v>
      </c>
      <c r="AR17" s="11">
        <v>0</v>
      </c>
      <c r="AS17" s="11">
        <v>0</v>
      </c>
      <c r="AT17" s="11">
        <v>0</v>
      </c>
      <c r="AU17" s="11">
        <v>0</v>
      </c>
      <c r="AV17" s="11">
        <v>0</v>
      </c>
      <c r="AW17" s="11">
        <v>0</v>
      </c>
      <c r="AX17" s="11">
        <v>0</v>
      </c>
      <c r="AY17" s="27">
        <v>0</v>
      </c>
      <c r="AZ17" s="26">
        <v>0</v>
      </c>
      <c r="BA17" s="11">
        <v>1</v>
      </c>
      <c r="BB17" s="11">
        <v>0</v>
      </c>
      <c r="BC17" s="11">
        <v>0</v>
      </c>
      <c r="BD17" s="11">
        <v>1</v>
      </c>
      <c r="BE17" s="11">
        <v>0</v>
      </c>
      <c r="BF17" s="11">
        <v>0</v>
      </c>
      <c r="BG17" s="11">
        <v>0</v>
      </c>
      <c r="BH17" s="11">
        <v>0</v>
      </c>
      <c r="BI17" s="27">
        <v>0</v>
      </c>
      <c r="BJ17" s="26">
        <v>0</v>
      </c>
      <c r="BK17" s="11">
        <v>0</v>
      </c>
      <c r="BL17" s="11">
        <v>0</v>
      </c>
      <c r="BM17" s="11">
        <v>0</v>
      </c>
      <c r="BN17" s="11">
        <v>0</v>
      </c>
      <c r="BO17" s="11">
        <v>0</v>
      </c>
      <c r="BP17" s="11">
        <v>0</v>
      </c>
      <c r="BQ17" s="11">
        <v>0</v>
      </c>
      <c r="BR17" s="11">
        <v>0</v>
      </c>
      <c r="BS17" s="27">
        <v>0</v>
      </c>
      <c r="BT17" s="26">
        <v>0</v>
      </c>
      <c r="BU17" s="11">
        <v>0</v>
      </c>
      <c r="BV17" s="11">
        <v>0</v>
      </c>
      <c r="BW17" s="11">
        <v>0</v>
      </c>
      <c r="BX17" s="11">
        <v>0</v>
      </c>
      <c r="BY17" s="11">
        <v>0</v>
      </c>
      <c r="BZ17" s="11">
        <v>0</v>
      </c>
      <c r="CA17" s="11">
        <v>0</v>
      </c>
      <c r="CB17" s="11">
        <v>0</v>
      </c>
      <c r="CC17" s="27">
        <v>0</v>
      </c>
      <c r="CD17" s="26">
        <v>0</v>
      </c>
      <c r="CE17" s="11">
        <v>1</v>
      </c>
      <c r="CF17" s="11">
        <v>0</v>
      </c>
      <c r="CG17" s="11">
        <v>0</v>
      </c>
      <c r="CH17" s="11">
        <v>1</v>
      </c>
      <c r="CI17" s="11">
        <v>0</v>
      </c>
      <c r="CJ17" s="11">
        <v>0</v>
      </c>
      <c r="CK17" s="11">
        <v>0</v>
      </c>
      <c r="CL17" s="11">
        <v>0</v>
      </c>
      <c r="CM17" s="27">
        <v>0</v>
      </c>
    </row>
    <row r="18" spans="1:91" x14ac:dyDescent="0.3">
      <c r="A18" s="44" t="str">
        <v>LXL - Parts / Layer</v>
      </c>
      <c r="B18" s="26">
        <v>44</v>
      </c>
      <c r="C18" s="11">
        <v>28</v>
      </c>
      <c r="D18" s="11">
        <v>16</v>
      </c>
      <c r="E18" s="11">
        <v>39</v>
      </c>
      <c r="F18" s="11">
        <v>6</v>
      </c>
      <c r="G18" s="11">
        <v>16</v>
      </c>
      <c r="H18" s="11">
        <v>128</v>
      </c>
      <c r="I18" s="11">
        <v>128</v>
      </c>
      <c r="J18" s="11">
        <v>72</v>
      </c>
      <c r="K18" s="27">
        <v>48</v>
      </c>
      <c r="L18" s="26">
        <v>36</v>
      </c>
      <c r="M18" s="11">
        <v>25</v>
      </c>
      <c r="N18" s="11">
        <v>14</v>
      </c>
      <c r="O18" s="11">
        <v>33</v>
      </c>
      <c r="P18" s="11">
        <v>4</v>
      </c>
      <c r="Q18" s="11">
        <v>18</v>
      </c>
      <c r="R18" s="11">
        <v>104</v>
      </c>
      <c r="S18" s="11">
        <v>104</v>
      </c>
      <c r="T18" s="11">
        <v>60</v>
      </c>
      <c r="U18" s="27">
        <v>50</v>
      </c>
      <c r="V18" s="26">
        <v>18</v>
      </c>
      <c r="W18" s="11">
        <v>15</v>
      </c>
      <c r="X18" s="11">
        <v>6</v>
      </c>
      <c r="Y18" s="11">
        <v>20</v>
      </c>
      <c r="Z18" s="11">
        <v>2</v>
      </c>
      <c r="AA18" s="11">
        <v>12</v>
      </c>
      <c r="AB18" s="11">
        <v>65</v>
      </c>
      <c r="AC18" s="11">
        <v>65</v>
      </c>
      <c r="AD18" s="11">
        <v>36</v>
      </c>
      <c r="AE18" s="27">
        <v>27</v>
      </c>
      <c r="AF18" s="26">
        <v>8</v>
      </c>
      <c r="AG18" s="11">
        <v>4</v>
      </c>
      <c r="AH18" s="11">
        <v>3</v>
      </c>
      <c r="AI18" s="11">
        <v>5</v>
      </c>
      <c r="AJ18" s="11">
        <v>1</v>
      </c>
      <c r="AK18" s="11">
        <v>3</v>
      </c>
      <c r="AL18" s="11">
        <v>24</v>
      </c>
      <c r="AM18" s="11">
        <v>24</v>
      </c>
      <c r="AN18" s="11">
        <v>12</v>
      </c>
      <c r="AO18" s="27">
        <v>8</v>
      </c>
      <c r="AP18" s="26">
        <v>8</v>
      </c>
      <c r="AQ18" s="11">
        <v>4</v>
      </c>
      <c r="AR18" s="11">
        <v>3</v>
      </c>
      <c r="AS18" s="11">
        <v>5</v>
      </c>
      <c r="AT18" s="11">
        <v>1</v>
      </c>
      <c r="AU18" s="11">
        <v>3</v>
      </c>
      <c r="AV18" s="11">
        <v>24</v>
      </c>
      <c r="AW18" s="11">
        <v>24</v>
      </c>
      <c r="AX18" s="11">
        <v>12</v>
      </c>
      <c r="AY18" s="27">
        <v>8</v>
      </c>
      <c r="AZ18" s="26">
        <v>8</v>
      </c>
      <c r="BA18" s="11">
        <v>4</v>
      </c>
      <c r="BB18" s="11">
        <v>3</v>
      </c>
      <c r="BC18" s="11">
        <v>5</v>
      </c>
      <c r="BD18" s="11">
        <v>1</v>
      </c>
      <c r="BE18" s="11">
        <v>3</v>
      </c>
      <c r="BF18" s="11">
        <v>24</v>
      </c>
      <c r="BG18" s="11">
        <v>24</v>
      </c>
      <c r="BH18" s="11">
        <v>12</v>
      </c>
      <c r="BI18" s="27">
        <v>8</v>
      </c>
      <c r="BJ18" s="26">
        <v>3</v>
      </c>
      <c r="BK18" s="11">
        <v>2</v>
      </c>
      <c r="BL18" s="11">
        <v>0</v>
      </c>
      <c r="BM18" s="11">
        <v>0</v>
      </c>
      <c r="BN18" s="11">
        <v>0</v>
      </c>
      <c r="BO18" s="11">
        <v>0</v>
      </c>
      <c r="BP18" s="11">
        <v>8</v>
      </c>
      <c r="BQ18" s="11">
        <v>8</v>
      </c>
      <c r="BR18" s="11">
        <v>6</v>
      </c>
      <c r="BS18" s="27">
        <v>3</v>
      </c>
      <c r="BT18" s="26">
        <v>3</v>
      </c>
      <c r="BU18" s="11">
        <v>2</v>
      </c>
      <c r="BV18" s="11">
        <v>0</v>
      </c>
      <c r="BW18" s="11">
        <v>0</v>
      </c>
      <c r="BX18" s="11">
        <v>0</v>
      </c>
      <c r="BY18" s="11">
        <v>0</v>
      </c>
      <c r="BZ18" s="11">
        <v>8</v>
      </c>
      <c r="CA18" s="11">
        <v>8</v>
      </c>
      <c r="CB18" s="11">
        <v>6</v>
      </c>
      <c r="CC18" s="27">
        <v>3</v>
      </c>
      <c r="CD18" s="26">
        <v>3</v>
      </c>
      <c r="CE18" s="11">
        <v>2</v>
      </c>
      <c r="CF18" s="11">
        <v>0</v>
      </c>
      <c r="CG18" s="11">
        <v>0</v>
      </c>
      <c r="CH18" s="11">
        <v>0</v>
      </c>
      <c r="CI18" s="11">
        <v>0</v>
      </c>
      <c r="CJ18" s="11">
        <v>8</v>
      </c>
      <c r="CK18" s="11">
        <v>8</v>
      </c>
      <c r="CL18" s="11">
        <v>6</v>
      </c>
      <c r="CM18" s="27">
        <v>3</v>
      </c>
    </row>
    <row r="19" spans="1:91" x14ac:dyDescent="0.3">
      <c r="A19" s="44" t="str">
        <v>LXL - Layers / GLT</v>
      </c>
      <c r="B19" s="26">
        <v>1</v>
      </c>
      <c r="C19" s="11">
        <v>3</v>
      </c>
      <c r="D19" s="11">
        <v>2</v>
      </c>
      <c r="E19" s="11">
        <v>2</v>
      </c>
      <c r="F19" s="11">
        <v>3</v>
      </c>
      <c r="G19" s="11">
        <v>2</v>
      </c>
      <c r="H19" s="11">
        <v>1</v>
      </c>
      <c r="I19" s="11">
        <v>1</v>
      </c>
      <c r="J19" s="11">
        <v>2</v>
      </c>
      <c r="K19" s="27">
        <v>2</v>
      </c>
      <c r="L19" s="26">
        <v>1</v>
      </c>
      <c r="M19" s="11">
        <v>4</v>
      </c>
      <c r="N19" s="11">
        <v>3</v>
      </c>
      <c r="O19" s="11">
        <v>3</v>
      </c>
      <c r="P19" s="11">
        <v>4</v>
      </c>
      <c r="Q19" s="11">
        <v>2</v>
      </c>
      <c r="R19" s="11">
        <v>2</v>
      </c>
      <c r="S19" s="11">
        <v>2</v>
      </c>
      <c r="T19" s="11">
        <v>2</v>
      </c>
      <c r="U19" s="27">
        <v>2</v>
      </c>
      <c r="V19" s="26">
        <v>1</v>
      </c>
      <c r="W19" s="11">
        <v>3</v>
      </c>
      <c r="X19" s="11">
        <v>3</v>
      </c>
      <c r="Y19" s="11">
        <v>3</v>
      </c>
      <c r="Z19" s="11">
        <v>4</v>
      </c>
      <c r="AA19" s="11">
        <v>2</v>
      </c>
      <c r="AB19" s="11">
        <v>1</v>
      </c>
      <c r="AC19" s="11">
        <v>1</v>
      </c>
      <c r="AD19" s="11">
        <v>2</v>
      </c>
      <c r="AE19" s="27">
        <v>2</v>
      </c>
      <c r="AF19" s="26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0</v>
      </c>
      <c r="AO19" s="27">
        <v>0</v>
      </c>
      <c r="AP19" s="26">
        <v>0</v>
      </c>
      <c r="AQ19" s="11">
        <v>0</v>
      </c>
      <c r="AR19" s="11">
        <v>0</v>
      </c>
      <c r="AS19" s="11">
        <v>0</v>
      </c>
      <c r="AT19" s="11">
        <v>0</v>
      </c>
      <c r="AU19" s="11">
        <v>0</v>
      </c>
      <c r="AV19" s="11">
        <v>0</v>
      </c>
      <c r="AW19" s="11">
        <v>0</v>
      </c>
      <c r="AX19" s="11">
        <v>0</v>
      </c>
      <c r="AY19" s="27">
        <v>0</v>
      </c>
      <c r="AZ19" s="26">
        <v>0</v>
      </c>
      <c r="BA19" s="11">
        <v>1</v>
      </c>
      <c r="BB19" s="11">
        <v>0</v>
      </c>
      <c r="BC19" s="11">
        <v>0</v>
      </c>
      <c r="BD19" s="11">
        <v>1</v>
      </c>
      <c r="BE19" s="11">
        <v>0</v>
      </c>
      <c r="BF19" s="11">
        <v>0</v>
      </c>
      <c r="BG19" s="11">
        <v>0</v>
      </c>
      <c r="BH19" s="11">
        <v>0</v>
      </c>
      <c r="BI19" s="27">
        <v>0</v>
      </c>
      <c r="BJ19" s="26">
        <v>0</v>
      </c>
      <c r="BK19" s="11">
        <v>0</v>
      </c>
      <c r="BL19" s="11">
        <v>0</v>
      </c>
      <c r="BM19" s="11">
        <v>0</v>
      </c>
      <c r="BN19" s="11">
        <v>0</v>
      </c>
      <c r="BO19" s="11">
        <v>0</v>
      </c>
      <c r="BP19" s="11">
        <v>0</v>
      </c>
      <c r="BQ19" s="11">
        <v>0</v>
      </c>
      <c r="BR19" s="11">
        <v>0</v>
      </c>
      <c r="BS19" s="27">
        <v>0</v>
      </c>
      <c r="BT19" s="26">
        <v>0</v>
      </c>
      <c r="BU19" s="11">
        <v>0</v>
      </c>
      <c r="BV19" s="11">
        <v>0</v>
      </c>
      <c r="BW19" s="11">
        <v>0</v>
      </c>
      <c r="BX19" s="11">
        <v>0</v>
      </c>
      <c r="BY19" s="11">
        <v>0</v>
      </c>
      <c r="BZ19" s="11">
        <v>0</v>
      </c>
      <c r="CA19" s="11">
        <v>0</v>
      </c>
      <c r="CB19" s="11">
        <v>0</v>
      </c>
      <c r="CC19" s="27">
        <v>0</v>
      </c>
      <c r="CD19" s="26">
        <v>0</v>
      </c>
      <c r="CE19" s="11">
        <v>1</v>
      </c>
      <c r="CF19" s="11">
        <v>0</v>
      </c>
      <c r="CG19" s="11">
        <v>0</v>
      </c>
      <c r="CH19" s="11">
        <v>1</v>
      </c>
      <c r="CI19" s="11">
        <v>0</v>
      </c>
      <c r="CJ19" s="11">
        <v>0</v>
      </c>
      <c r="CK19" s="11">
        <v>0</v>
      </c>
      <c r="CL19" s="11">
        <v>0</v>
      </c>
      <c r="CM19" s="27">
        <v>0</v>
      </c>
    </row>
    <row r="20" spans="1:91" x14ac:dyDescent="0.3">
      <c r="A20" s="46" t="str">
        <v>LXL - Parts / GLT</v>
      </c>
      <c r="B20" s="34">
        <v>44</v>
      </c>
      <c r="C20" s="35">
        <v>84</v>
      </c>
      <c r="D20" s="35">
        <v>32</v>
      </c>
      <c r="E20" s="35">
        <v>78</v>
      </c>
      <c r="F20" s="35">
        <v>18</v>
      </c>
      <c r="G20" s="35">
        <v>32</v>
      </c>
      <c r="H20" s="35">
        <v>128</v>
      </c>
      <c r="I20" s="35">
        <v>128</v>
      </c>
      <c r="J20" s="35">
        <v>144</v>
      </c>
      <c r="K20" s="36">
        <v>96</v>
      </c>
      <c r="L20" s="34">
        <v>36</v>
      </c>
      <c r="M20" s="35">
        <v>100</v>
      </c>
      <c r="N20" s="35">
        <v>42</v>
      </c>
      <c r="O20" s="35">
        <v>99</v>
      </c>
      <c r="P20" s="35">
        <v>16</v>
      </c>
      <c r="Q20" s="35">
        <v>36</v>
      </c>
      <c r="R20" s="35">
        <v>208</v>
      </c>
      <c r="S20" s="35">
        <v>208</v>
      </c>
      <c r="T20" s="35">
        <v>120</v>
      </c>
      <c r="U20" s="36">
        <v>100</v>
      </c>
      <c r="V20" s="34">
        <v>18</v>
      </c>
      <c r="W20" s="35">
        <v>45</v>
      </c>
      <c r="X20" s="35">
        <v>18</v>
      </c>
      <c r="Y20" s="35">
        <v>60</v>
      </c>
      <c r="Z20" s="35">
        <v>8</v>
      </c>
      <c r="AA20" s="35">
        <v>24</v>
      </c>
      <c r="AB20" s="35">
        <v>65</v>
      </c>
      <c r="AC20" s="35">
        <v>65</v>
      </c>
      <c r="AD20" s="35">
        <v>72</v>
      </c>
      <c r="AE20" s="36">
        <v>54</v>
      </c>
      <c r="AF20" s="34">
        <v>0</v>
      </c>
      <c r="AG20" s="35">
        <v>0</v>
      </c>
      <c r="AH20" s="35">
        <v>0</v>
      </c>
      <c r="AI20" s="35">
        <v>0</v>
      </c>
      <c r="AJ20" s="35">
        <v>0</v>
      </c>
      <c r="AK20" s="35">
        <v>0</v>
      </c>
      <c r="AL20" s="35">
        <v>0</v>
      </c>
      <c r="AM20" s="35">
        <v>0</v>
      </c>
      <c r="AN20" s="35">
        <v>0</v>
      </c>
      <c r="AO20" s="36">
        <v>0</v>
      </c>
      <c r="AP20" s="34">
        <v>0</v>
      </c>
      <c r="AQ20" s="35">
        <v>0</v>
      </c>
      <c r="AR20" s="35">
        <v>0</v>
      </c>
      <c r="AS20" s="35">
        <v>0</v>
      </c>
      <c r="AT20" s="35">
        <v>0</v>
      </c>
      <c r="AU20" s="35">
        <v>0</v>
      </c>
      <c r="AV20" s="35">
        <v>0</v>
      </c>
      <c r="AW20" s="35">
        <v>0</v>
      </c>
      <c r="AX20" s="35">
        <v>0</v>
      </c>
      <c r="AY20" s="36">
        <v>0</v>
      </c>
      <c r="AZ20" s="34">
        <v>0</v>
      </c>
      <c r="BA20" s="35">
        <v>4</v>
      </c>
      <c r="BB20" s="35">
        <v>0</v>
      </c>
      <c r="BC20" s="35">
        <v>0</v>
      </c>
      <c r="BD20" s="35">
        <v>1</v>
      </c>
      <c r="BE20" s="35">
        <v>0</v>
      </c>
      <c r="BF20" s="35">
        <v>0</v>
      </c>
      <c r="BG20" s="35">
        <v>0</v>
      </c>
      <c r="BH20" s="35">
        <v>0</v>
      </c>
      <c r="BI20" s="36">
        <v>0</v>
      </c>
      <c r="BJ20" s="34">
        <v>0</v>
      </c>
      <c r="BK20" s="35">
        <v>0</v>
      </c>
      <c r="BL20" s="35">
        <v>0</v>
      </c>
      <c r="BM20" s="35">
        <v>0</v>
      </c>
      <c r="BN20" s="35">
        <v>0</v>
      </c>
      <c r="BO20" s="35">
        <v>0</v>
      </c>
      <c r="BP20" s="35">
        <v>0</v>
      </c>
      <c r="BQ20" s="35">
        <v>0</v>
      </c>
      <c r="BR20" s="35">
        <v>0</v>
      </c>
      <c r="BS20" s="36">
        <v>0</v>
      </c>
      <c r="BT20" s="34">
        <v>0</v>
      </c>
      <c r="BU20" s="35">
        <v>0</v>
      </c>
      <c r="BV20" s="35">
        <v>0</v>
      </c>
      <c r="BW20" s="35">
        <v>0</v>
      </c>
      <c r="BX20" s="35">
        <v>0</v>
      </c>
      <c r="BY20" s="35">
        <v>0</v>
      </c>
      <c r="BZ20" s="35">
        <v>0</v>
      </c>
      <c r="CA20" s="35">
        <v>0</v>
      </c>
      <c r="CB20" s="35">
        <v>0</v>
      </c>
      <c r="CC20" s="36">
        <v>0</v>
      </c>
      <c r="CD20" s="34">
        <v>0</v>
      </c>
      <c r="CE20" s="35">
        <v>2</v>
      </c>
      <c r="CF20" s="35">
        <v>0</v>
      </c>
      <c r="CG20" s="35">
        <v>0</v>
      </c>
      <c r="CH20" s="35">
        <v>0</v>
      </c>
      <c r="CI20" s="35">
        <v>0</v>
      </c>
      <c r="CJ20" s="35">
        <v>0</v>
      </c>
      <c r="CK20" s="35">
        <v>0</v>
      </c>
      <c r="CL20" s="35">
        <v>0</v>
      </c>
      <c r="CM20" s="36">
        <v>0</v>
      </c>
    </row>
    <row r="21" spans="1:91" x14ac:dyDescent="0.3">
      <c r="A21" s="44" t="str">
        <v>LxW - GLT Size ID(mm)</v>
      </c>
      <c r="B21" s="26">
        <v>920</v>
      </c>
      <c r="C21" s="11">
        <v>920</v>
      </c>
      <c r="D21" s="11">
        <v>920</v>
      </c>
      <c r="E21" s="11">
        <v>920</v>
      </c>
      <c r="F21" s="11">
        <v>920</v>
      </c>
      <c r="G21" s="11">
        <v>920</v>
      </c>
      <c r="H21" s="11">
        <v>920</v>
      </c>
      <c r="I21" s="11">
        <v>920</v>
      </c>
      <c r="J21" s="11">
        <v>920</v>
      </c>
      <c r="K21" s="27">
        <v>920</v>
      </c>
      <c r="L21" s="26">
        <v>755</v>
      </c>
      <c r="M21" s="11">
        <v>755</v>
      </c>
      <c r="N21" s="11">
        <v>755</v>
      </c>
      <c r="O21" s="11">
        <v>755</v>
      </c>
      <c r="P21" s="11">
        <v>755</v>
      </c>
      <c r="Q21" s="11">
        <v>755</v>
      </c>
      <c r="R21" s="11">
        <v>755</v>
      </c>
      <c r="S21" s="11">
        <v>755</v>
      </c>
      <c r="T21" s="11">
        <v>755</v>
      </c>
      <c r="U21" s="27">
        <v>755</v>
      </c>
      <c r="V21" s="26">
        <v>730</v>
      </c>
      <c r="W21" s="11">
        <v>730</v>
      </c>
      <c r="X21" s="11">
        <v>730</v>
      </c>
      <c r="Y21" s="11">
        <v>730</v>
      </c>
      <c r="Z21" s="11">
        <v>730</v>
      </c>
      <c r="AA21" s="11">
        <v>730</v>
      </c>
      <c r="AB21" s="11">
        <v>730</v>
      </c>
      <c r="AC21" s="11">
        <v>730</v>
      </c>
      <c r="AD21" s="11">
        <v>730</v>
      </c>
      <c r="AE21" s="27">
        <v>730</v>
      </c>
      <c r="AF21" s="26">
        <v>360</v>
      </c>
      <c r="AG21" s="11">
        <v>360</v>
      </c>
      <c r="AH21" s="11">
        <v>360</v>
      </c>
      <c r="AI21" s="11">
        <v>360</v>
      </c>
      <c r="AJ21" s="11">
        <v>360</v>
      </c>
      <c r="AK21" s="11">
        <v>360</v>
      </c>
      <c r="AL21" s="11">
        <v>360</v>
      </c>
      <c r="AM21" s="11">
        <v>360</v>
      </c>
      <c r="AN21" s="11">
        <v>360</v>
      </c>
      <c r="AO21" s="27">
        <v>360</v>
      </c>
      <c r="AP21" s="26">
        <v>360</v>
      </c>
      <c r="AQ21" s="11">
        <v>360</v>
      </c>
      <c r="AR21" s="11">
        <v>360</v>
      </c>
      <c r="AS21" s="11">
        <v>360</v>
      </c>
      <c r="AT21" s="11">
        <v>360</v>
      </c>
      <c r="AU21" s="11">
        <v>360</v>
      </c>
      <c r="AV21" s="11">
        <v>360</v>
      </c>
      <c r="AW21" s="11">
        <v>360</v>
      </c>
      <c r="AX21" s="11">
        <v>360</v>
      </c>
      <c r="AY21" s="27">
        <v>360</v>
      </c>
      <c r="AZ21" s="26">
        <v>360</v>
      </c>
      <c r="BA21" s="11">
        <v>360</v>
      </c>
      <c r="BB21" s="11">
        <v>360</v>
      </c>
      <c r="BC21" s="11">
        <v>360</v>
      </c>
      <c r="BD21" s="11">
        <v>360</v>
      </c>
      <c r="BE21" s="11">
        <v>360</v>
      </c>
      <c r="BF21" s="11">
        <v>360</v>
      </c>
      <c r="BG21" s="11">
        <v>360</v>
      </c>
      <c r="BH21" s="11">
        <v>360</v>
      </c>
      <c r="BI21" s="27">
        <v>360</v>
      </c>
      <c r="BJ21" s="26">
        <v>260</v>
      </c>
      <c r="BK21" s="11">
        <v>260</v>
      </c>
      <c r="BL21" s="11">
        <v>260</v>
      </c>
      <c r="BM21" s="11">
        <v>260</v>
      </c>
      <c r="BN21" s="11">
        <v>260</v>
      </c>
      <c r="BO21" s="11">
        <v>260</v>
      </c>
      <c r="BP21" s="11">
        <v>260</v>
      </c>
      <c r="BQ21" s="11">
        <v>260</v>
      </c>
      <c r="BR21" s="11">
        <v>260</v>
      </c>
      <c r="BS21" s="27">
        <v>260</v>
      </c>
      <c r="BT21" s="26">
        <v>260</v>
      </c>
      <c r="BU21" s="11">
        <v>260</v>
      </c>
      <c r="BV21" s="11">
        <v>260</v>
      </c>
      <c r="BW21" s="11">
        <v>260</v>
      </c>
      <c r="BX21" s="11">
        <v>260</v>
      </c>
      <c r="BY21" s="11">
        <v>260</v>
      </c>
      <c r="BZ21" s="11">
        <v>260</v>
      </c>
      <c r="CA21" s="11">
        <v>260</v>
      </c>
      <c r="CB21" s="11">
        <v>260</v>
      </c>
      <c r="CC21" s="27">
        <v>260</v>
      </c>
      <c r="CD21" s="26">
        <v>260</v>
      </c>
      <c r="CE21" s="11">
        <v>260</v>
      </c>
      <c r="CF21" s="11">
        <v>260</v>
      </c>
      <c r="CG21" s="11">
        <v>260</v>
      </c>
      <c r="CH21" s="11">
        <v>260</v>
      </c>
      <c r="CI21" s="11">
        <v>260</v>
      </c>
      <c r="CJ21" s="11">
        <v>260</v>
      </c>
      <c r="CK21" s="11">
        <v>260</v>
      </c>
      <c r="CL21" s="11">
        <v>260</v>
      </c>
      <c r="CM21" s="27">
        <v>260</v>
      </c>
    </row>
    <row r="22" spans="1:91" x14ac:dyDescent="0.3">
      <c r="A22" s="44" t="str">
        <v>LxW - GLT Size ID(mm)</v>
      </c>
      <c r="B22" s="26">
        <v>1120</v>
      </c>
      <c r="C22" s="11">
        <v>1120</v>
      </c>
      <c r="D22" s="11">
        <v>1120</v>
      </c>
      <c r="E22" s="11">
        <v>1120</v>
      </c>
      <c r="F22" s="11">
        <v>1120</v>
      </c>
      <c r="G22" s="11">
        <v>1120</v>
      </c>
      <c r="H22" s="11">
        <v>1120</v>
      </c>
      <c r="I22" s="11">
        <v>1120</v>
      </c>
      <c r="J22" s="11">
        <v>1120</v>
      </c>
      <c r="K22" s="27">
        <v>1120</v>
      </c>
      <c r="L22" s="26">
        <v>1155</v>
      </c>
      <c r="M22" s="11">
        <v>1155</v>
      </c>
      <c r="N22" s="11">
        <v>1155</v>
      </c>
      <c r="O22" s="11">
        <v>1155</v>
      </c>
      <c r="P22" s="11">
        <v>1155</v>
      </c>
      <c r="Q22" s="11">
        <v>1155</v>
      </c>
      <c r="R22" s="11">
        <v>1155</v>
      </c>
      <c r="S22" s="11">
        <v>1155</v>
      </c>
      <c r="T22" s="11">
        <v>1155</v>
      </c>
      <c r="U22" s="27">
        <v>1155</v>
      </c>
      <c r="V22" s="26">
        <v>780</v>
      </c>
      <c r="W22" s="11">
        <v>780</v>
      </c>
      <c r="X22" s="11">
        <v>780</v>
      </c>
      <c r="Y22" s="11">
        <v>780</v>
      </c>
      <c r="Z22" s="11">
        <v>780</v>
      </c>
      <c r="AA22" s="11">
        <v>780</v>
      </c>
      <c r="AB22" s="11">
        <v>780</v>
      </c>
      <c r="AC22" s="11">
        <v>780</v>
      </c>
      <c r="AD22" s="11">
        <v>780</v>
      </c>
      <c r="AE22" s="27">
        <v>780</v>
      </c>
      <c r="AF22" s="26">
        <v>560</v>
      </c>
      <c r="AG22" s="11">
        <v>560</v>
      </c>
      <c r="AH22" s="11">
        <v>560</v>
      </c>
      <c r="AI22" s="11">
        <v>560</v>
      </c>
      <c r="AJ22" s="11">
        <v>560</v>
      </c>
      <c r="AK22" s="11">
        <v>560</v>
      </c>
      <c r="AL22" s="11">
        <v>560</v>
      </c>
      <c r="AM22" s="11">
        <v>560</v>
      </c>
      <c r="AN22" s="11">
        <v>560</v>
      </c>
      <c r="AO22" s="27">
        <v>560</v>
      </c>
      <c r="AP22" s="26">
        <v>560</v>
      </c>
      <c r="AQ22" s="11">
        <v>560</v>
      </c>
      <c r="AR22" s="11">
        <v>560</v>
      </c>
      <c r="AS22" s="11">
        <v>560</v>
      </c>
      <c r="AT22" s="11">
        <v>560</v>
      </c>
      <c r="AU22" s="11">
        <v>560</v>
      </c>
      <c r="AV22" s="11">
        <v>560</v>
      </c>
      <c r="AW22" s="11">
        <v>560</v>
      </c>
      <c r="AX22" s="11">
        <v>560</v>
      </c>
      <c r="AY22" s="27">
        <v>560</v>
      </c>
      <c r="AZ22" s="26">
        <v>560</v>
      </c>
      <c r="BA22" s="11">
        <v>560</v>
      </c>
      <c r="BB22" s="11">
        <v>560</v>
      </c>
      <c r="BC22" s="11">
        <v>560</v>
      </c>
      <c r="BD22" s="11">
        <v>560</v>
      </c>
      <c r="BE22" s="11">
        <v>560</v>
      </c>
      <c r="BF22" s="11">
        <v>560</v>
      </c>
      <c r="BG22" s="11">
        <v>560</v>
      </c>
      <c r="BH22" s="11">
        <v>560</v>
      </c>
      <c r="BI22" s="27">
        <v>560</v>
      </c>
      <c r="BJ22" s="26">
        <v>360</v>
      </c>
      <c r="BK22" s="11">
        <v>360</v>
      </c>
      <c r="BL22" s="11">
        <v>360</v>
      </c>
      <c r="BM22" s="11">
        <v>360</v>
      </c>
      <c r="BN22" s="11">
        <v>360</v>
      </c>
      <c r="BO22" s="11">
        <v>360</v>
      </c>
      <c r="BP22" s="11">
        <v>360</v>
      </c>
      <c r="BQ22" s="11">
        <v>360</v>
      </c>
      <c r="BR22" s="11">
        <v>360</v>
      </c>
      <c r="BS22" s="27">
        <v>360</v>
      </c>
      <c r="BT22" s="26">
        <v>360</v>
      </c>
      <c r="BU22" s="11">
        <v>360</v>
      </c>
      <c r="BV22" s="11">
        <v>360</v>
      </c>
      <c r="BW22" s="11">
        <v>360</v>
      </c>
      <c r="BX22" s="11">
        <v>360</v>
      </c>
      <c r="BY22" s="11">
        <v>360</v>
      </c>
      <c r="BZ22" s="11">
        <v>360</v>
      </c>
      <c r="CA22" s="11">
        <v>360</v>
      </c>
      <c r="CB22" s="11">
        <v>360</v>
      </c>
      <c r="CC22" s="27">
        <v>360</v>
      </c>
      <c r="CD22" s="26">
        <v>360</v>
      </c>
      <c r="CE22" s="11">
        <v>360</v>
      </c>
      <c r="CF22" s="11">
        <v>360</v>
      </c>
      <c r="CG22" s="11">
        <v>360</v>
      </c>
      <c r="CH22" s="11">
        <v>360</v>
      </c>
      <c r="CI22" s="11">
        <v>360</v>
      </c>
      <c r="CJ22" s="11">
        <v>360</v>
      </c>
      <c r="CK22" s="11">
        <v>360</v>
      </c>
      <c r="CL22" s="11">
        <v>360</v>
      </c>
      <c r="CM22" s="27">
        <v>360</v>
      </c>
    </row>
    <row r="23" spans="1:91" x14ac:dyDescent="0.3">
      <c r="A23" s="44" t="str">
        <v>LxW - GLT Size ID(mm)</v>
      </c>
      <c r="B23" s="26">
        <v>640</v>
      </c>
      <c r="C23" s="11">
        <v>640</v>
      </c>
      <c r="D23" s="11">
        <v>640</v>
      </c>
      <c r="E23" s="11">
        <v>640</v>
      </c>
      <c r="F23" s="11">
        <v>640</v>
      </c>
      <c r="G23" s="11">
        <v>640</v>
      </c>
      <c r="H23" s="11">
        <v>640</v>
      </c>
      <c r="I23" s="11">
        <v>640</v>
      </c>
      <c r="J23" s="11">
        <v>640</v>
      </c>
      <c r="K23" s="27">
        <v>640</v>
      </c>
      <c r="L23" s="26">
        <v>780</v>
      </c>
      <c r="M23" s="11">
        <v>780</v>
      </c>
      <c r="N23" s="11">
        <v>780</v>
      </c>
      <c r="O23" s="11">
        <v>780</v>
      </c>
      <c r="P23" s="11">
        <v>780</v>
      </c>
      <c r="Q23" s="11">
        <v>780</v>
      </c>
      <c r="R23" s="11">
        <v>780</v>
      </c>
      <c r="S23" s="11">
        <v>780</v>
      </c>
      <c r="T23" s="11">
        <v>780</v>
      </c>
      <c r="U23" s="27">
        <v>780</v>
      </c>
      <c r="V23" s="26">
        <v>720</v>
      </c>
      <c r="W23" s="11">
        <v>720</v>
      </c>
      <c r="X23" s="11">
        <v>720</v>
      </c>
      <c r="Y23" s="11">
        <v>720</v>
      </c>
      <c r="Z23" s="11">
        <v>720</v>
      </c>
      <c r="AA23" s="11">
        <v>720</v>
      </c>
      <c r="AB23" s="11">
        <v>720</v>
      </c>
      <c r="AC23" s="11">
        <v>720</v>
      </c>
      <c r="AD23" s="11">
        <v>720</v>
      </c>
      <c r="AE23" s="27">
        <v>720</v>
      </c>
      <c r="AF23" s="26">
        <v>105</v>
      </c>
      <c r="AG23" s="11">
        <v>105</v>
      </c>
      <c r="AH23" s="11">
        <v>105</v>
      </c>
      <c r="AI23" s="11">
        <v>105</v>
      </c>
      <c r="AJ23" s="11">
        <v>105</v>
      </c>
      <c r="AK23" s="11">
        <v>105</v>
      </c>
      <c r="AL23" s="11">
        <v>105</v>
      </c>
      <c r="AM23" s="11">
        <v>105</v>
      </c>
      <c r="AN23" s="11">
        <v>105</v>
      </c>
      <c r="AO23" s="27">
        <v>105</v>
      </c>
      <c r="AP23" s="26">
        <v>155</v>
      </c>
      <c r="AQ23" s="11">
        <v>155</v>
      </c>
      <c r="AR23" s="11">
        <v>155</v>
      </c>
      <c r="AS23" s="11">
        <v>155</v>
      </c>
      <c r="AT23" s="11">
        <v>155</v>
      </c>
      <c r="AU23" s="11">
        <v>155</v>
      </c>
      <c r="AV23" s="11">
        <v>155</v>
      </c>
      <c r="AW23" s="11">
        <v>155</v>
      </c>
      <c r="AX23" s="11">
        <v>155</v>
      </c>
      <c r="AY23" s="27">
        <v>155</v>
      </c>
      <c r="AZ23" s="26">
        <v>205</v>
      </c>
      <c r="BA23" s="11">
        <v>205</v>
      </c>
      <c r="BB23" s="11">
        <v>205</v>
      </c>
      <c r="BC23" s="11">
        <v>205</v>
      </c>
      <c r="BD23" s="11">
        <v>205</v>
      </c>
      <c r="BE23" s="11">
        <v>205</v>
      </c>
      <c r="BF23" s="11">
        <v>205</v>
      </c>
      <c r="BG23" s="11">
        <v>205</v>
      </c>
      <c r="BH23" s="11">
        <v>205</v>
      </c>
      <c r="BI23" s="27">
        <v>205</v>
      </c>
      <c r="BJ23" s="26">
        <v>105</v>
      </c>
      <c r="BK23" s="11">
        <v>105</v>
      </c>
      <c r="BL23" s="11">
        <v>105</v>
      </c>
      <c r="BM23" s="11">
        <v>105</v>
      </c>
      <c r="BN23" s="11">
        <v>105</v>
      </c>
      <c r="BO23" s="11">
        <v>105</v>
      </c>
      <c r="BP23" s="11">
        <v>105</v>
      </c>
      <c r="BQ23" s="11">
        <v>105</v>
      </c>
      <c r="BR23" s="11">
        <v>105</v>
      </c>
      <c r="BS23" s="27">
        <v>105</v>
      </c>
      <c r="BT23" s="26">
        <v>155</v>
      </c>
      <c r="BU23" s="11">
        <v>155</v>
      </c>
      <c r="BV23" s="11">
        <v>155</v>
      </c>
      <c r="BW23" s="11">
        <v>155</v>
      </c>
      <c r="BX23" s="11">
        <v>155</v>
      </c>
      <c r="BY23" s="11">
        <v>155</v>
      </c>
      <c r="BZ23" s="11">
        <v>155</v>
      </c>
      <c r="CA23" s="11">
        <v>155</v>
      </c>
      <c r="CB23" s="11">
        <v>155</v>
      </c>
      <c r="CC23" s="27">
        <v>155</v>
      </c>
      <c r="CD23" s="26">
        <v>205</v>
      </c>
      <c r="CE23" s="11">
        <v>205</v>
      </c>
      <c r="CF23" s="11">
        <v>205</v>
      </c>
      <c r="CG23" s="11">
        <v>205</v>
      </c>
      <c r="CH23" s="11">
        <v>205</v>
      </c>
      <c r="CI23" s="11">
        <v>205</v>
      </c>
      <c r="CJ23" s="11">
        <v>205</v>
      </c>
      <c r="CK23" s="11">
        <v>205</v>
      </c>
      <c r="CL23" s="11">
        <v>205</v>
      </c>
      <c r="CM23" s="27">
        <v>205</v>
      </c>
    </row>
    <row r="24" spans="1:91" x14ac:dyDescent="0.3">
      <c r="A24" s="44" t="str">
        <v>LxW - Packet Array  L</v>
      </c>
      <c r="B24" s="26">
        <v>3</v>
      </c>
      <c r="C24" s="11">
        <v>4</v>
      </c>
      <c r="D24" s="11">
        <v>2</v>
      </c>
      <c r="E24" s="11">
        <v>2</v>
      </c>
      <c r="F24" s="11">
        <v>2</v>
      </c>
      <c r="G24" s="11">
        <v>2</v>
      </c>
      <c r="H24" s="11">
        <v>6</v>
      </c>
      <c r="I24" s="11">
        <v>6</v>
      </c>
      <c r="J24" s="11">
        <v>5</v>
      </c>
      <c r="K24" s="27">
        <v>4</v>
      </c>
      <c r="L24" s="26">
        <v>2</v>
      </c>
      <c r="M24" s="11">
        <v>3</v>
      </c>
      <c r="N24" s="11">
        <v>1</v>
      </c>
      <c r="O24" s="11">
        <v>2</v>
      </c>
      <c r="P24" s="11">
        <v>1</v>
      </c>
      <c r="Q24" s="11">
        <v>1</v>
      </c>
      <c r="R24" s="11">
        <v>5</v>
      </c>
      <c r="S24" s="11">
        <v>5</v>
      </c>
      <c r="T24" s="11">
        <v>4</v>
      </c>
      <c r="U24" s="27">
        <v>3</v>
      </c>
      <c r="V24" s="26">
        <v>2</v>
      </c>
      <c r="W24" s="11">
        <v>3</v>
      </c>
      <c r="X24" s="11">
        <v>1</v>
      </c>
      <c r="Y24" s="11">
        <v>1</v>
      </c>
      <c r="Z24" s="11">
        <v>1</v>
      </c>
      <c r="AA24" s="11">
        <v>1</v>
      </c>
      <c r="AB24" s="11">
        <v>5</v>
      </c>
      <c r="AC24" s="11">
        <v>5</v>
      </c>
      <c r="AD24" s="11">
        <v>4</v>
      </c>
      <c r="AE24" s="27">
        <v>3</v>
      </c>
      <c r="AF24" s="26">
        <v>1</v>
      </c>
      <c r="AG24" s="11">
        <v>1</v>
      </c>
      <c r="AH24" s="11">
        <v>0</v>
      </c>
      <c r="AI24" s="11">
        <v>0</v>
      </c>
      <c r="AJ24" s="11">
        <v>0</v>
      </c>
      <c r="AK24" s="11">
        <v>0</v>
      </c>
      <c r="AL24" s="11">
        <v>2</v>
      </c>
      <c r="AM24" s="11">
        <v>2</v>
      </c>
      <c r="AN24" s="11">
        <v>2</v>
      </c>
      <c r="AO24" s="27">
        <v>1</v>
      </c>
      <c r="AP24" s="26">
        <v>1</v>
      </c>
      <c r="AQ24" s="11">
        <v>1</v>
      </c>
      <c r="AR24" s="11">
        <v>0</v>
      </c>
      <c r="AS24" s="11">
        <v>0</v>
      </c>
      <c r="AT24" s="11">
        <v>0</v>
      </c>
      <c r="AU24" s="11">
        <v>0</v>
      </c>
      <c r="AV24" s="11">
        <v>2</v>
      </c>
      <c r="AW24" s="11">
        <v>2</v>
      </c>
      <c r="AX24" s="11">
        <v>2</v>
      </c>
      <c r="AY24" s="27">
        <v>1</v>
      </c>
      <c r="AZ24" s="26">
        <v>1</v>
      </c>
      <c r="BA24" s="11">
        <v>1</v>
      </c>
      <c r="BB24" s="11">
        <v>0</v>
      </c>
      <c r="BC24" s="11">
        <v>0</v>
      </c>
      <c r="BD24" s="11">
        <v>0</v>
      </c>
      <c r="BE24" s="11">
        <v>0</v>
      </c>
      <c r="BF24" s="11">
        <v>2</v>
      </c>
      <c r="BG24" s="11">
        <v>2</v>
      </c>
      <c r="BH24" s="11">
        <v>2</v>
      </c>
      <c r="BI24" s="27">
        <v>1</v>
      </c>
      <c r="BJ24" s="26">
        <v>0</v>
      </c>
      <c r="BK24" s="11">
        <v>1</v>
      </c>
      <c r="BL24" s="11">
        <v>0</v>
      </c>
      <c r="BM24" s="11">
        <v>0</v>
      </c>
      <c r="BN24" s="11">
        <v>0</v>
      </c>
      <c r="BO24" s="11">
        <v>0</v>
      </c>
      <c r="BP24" s="11">
        <v>1</v>
      </c>
      <c r="BQ24" s="11">
        <v>1</v>
      </c>
      <c r="BR24" s="11">
        <v>1</v>
      </c>
      <c r="BS24" s="27">
        <v>1</v>
      </c>
      <c r="BT24" s="26">
        <v>0</v>
      </c>
      <c r="BU24" s="11">
        <v>1</v>
      </c>
      <c r="BV24" s="11">
        <v>0</v>
      </c>
      <c r="BW24" s="11">
        <v>0</v>
      </c>
      <c r="BX24" s="11">
        <v>0</v>
      </c>
      <c r="BY24" s="11">
        <v>0</v>
      </c>
      <c r="BZ24" s="11">
        <v>1</v>
      </c>
      <c r="CA24" s="11">
        <v>1</v>
      </c>
      <c r="CB24" s="11">
        <v>1</v>
      </c>
      <c r="CC24" s="27">
        <v>1</v>
      </c>
      <c r="CD24" s="26">
        <v>0</v>
      </c>
      <c r="CE24" s="11">
        <v>1</v>
      </c>
      <c r="CF24" s="11">
        <v>0</v>
      </c>
      <c r="CG24" s="11">
        <v>0</v>
      </c>
      <c r="CH24" s="11">
        <v>0</v>
      </c>
      <c r="CI24" s="11">
        <v>0</v>
      </c>
      <c r="CJ24" s="11">
        <v>1</v>
      </c>
      <c r="CK24" s="11">
        <v>1</v>
      </c>
      <c r="CL24" s="11">
        <v>1</v>
      </c>
      <c r="CM24" s="27">
        <v>1</v>
      </c>
    </row>
    <row r="25" spans="1:91" x14ac:dyDescent="0.3">
      <c r="A25" s="44" t="str">
        <v>LxW - Packet Array  W</v>
      </c>
      <c r="B25" s="26">
        <v>13</v>
      </c>
      <c r="C25" s="11">
        <v>8</v>
      </c>
      <c r="D25" s="11">
        <v>10</v>
      </c>
      <c r="E25" s="11">
        <v>16</v>
      </c>
      <c r="F25" s="11">
        <v>3</v>
      </c>
      <c r="G25" s="11">
        <v>9</v>
      </c>
      <c r="H25" s="11">
        <v>20</v>
      </c>
      <c r="I25" s="11">
        <v>20</v>
      </c>
      <c r="J25" s="11">
        <v>14</v>
      </c>
      <c r="K25" s="27">
        <v>14</v>
      </c>
      <c r="L25" s="26">
        <v>14</v>
      </c>
      <c r="M25" s="11">
        <v>8</v>
      </c>
      <c r="N25" s="11">
        <v>11</v>
      </c>
      <c r="O25" s="11">
        <v>16</v>
      </c>
      <c r="P25" s="11">
        <v>4</v>
      </c>
      <c r="Q25" s="11">
        <v>10</v>
      </c>
      <c r="R25" s="11">
        <v>21</v>
      </c>
      <c r="S25" s="11">
        <v>21</v>
      </c>
      <c r="T25" s="11">
        <v>15</v>
      </c>
      <c r="U25" s="27">
        <v>15</v>
      </c>
      <c r="V25" s="26">
        <v>9</v>
      </c>
      <c r="W25" s="11">
        <v>6</v>
      </c>
      <c r="X25" s="11">
        <v>7</v>
      </c>
      <c r="Y25" s="11">
        <v>11</v>
      </c>
      <c r="Z25" s="11">
        <v>2</v>
      </c>
      <c r="AA25" s="11">
        <v>6</v>
      </c>
      <c r="AB25" s="11">
        <v>14</v>
      </c>
      <c r="AC25" s="11">
        <v>14</v>
      </c>
      <c r="AD25" s="11">
        <v>10</v>
      </c>
      <c r="AE25" s="27">
        <v>10</v>
      </c>
      <c r="AF25" s="26">
        <v>6</v>
      </c>
      <c r="AG25" s="11">
        <v>4</v>
      </c>
      <c r="AH25" s="11">
        <v>5</v>
      </c>
      <c r="AI25" s="11">
        <v>8</v>
      </c>
      <c r="AJ25" s="11">
        <v>1</v>
      </c>
      <c r="AK25" s="11">
        <v>4</v>
      </c>
      <c r="AL25" s="11">
        <v>10</v>
      </c>
      <c r="AM25" s="11">
        <v>10</v>
      </c>
      <c r="AN25" s="11">
        <v>7</v>
      </c>
      <c r="AO25" s="27">
        <v>7</v>
      </c>
      <c r="AP25" s="26">
        <v>6</v>
      </c>
      <c r="AQ25" s="11">
        <v>4</v>
      </c>
      <c r="AR25" s="11">
        <v>5</v>
      </c>
      <c r="AS25" s="11">
        <v>8</v>
      </c>
      <c r="AT25" s="11">
        <v>1</v>
      </c>
      <c r="AU25" s="11">
        <v>4</v>
      </c>
      <c r="AV25" s="11">
        <v>10</v>
      </c>
      <c r="AW25" s="11">
        <v>10</v>
      </c>
      <c r="AX25" s="11">
        <v>7</v>
      </c>
      <c r="AY25" s="27">
        <v>7</v>
      </c>
      <c r="AZ25" s="26">
        <v>6</v>
      </c>
      <c r="BA25" s="11">
        <v>4</v>
      </c>
      <c r="BB25" s="11">
        <v>5</v>
      </c>
      <c r="BC25" s="11">
        <v>8</v>
      </c>
      <c r="BD25" s="11">
        <v>1</v>
      </c>
      <c r="BE25" s="11">
        <v>4</v>
      </c>
      <c r="BF25" s="11">
        <v>10</v>
      </c>
      <c r="BG25" s="11">
        <v>10</v>
      </c>
      <c r="BH25" s="11">
        <v>7</v>
      </c>
      <c r="BI25" s="27">
        <v>7</v>
      </c>
      <c r="BJ25" s="26">
        <v>4</v>
      </c>
      <c r="BK25" s="11">
        <v>2</v>
      </c>
      <c r="BL25" s="11">
        <v>3</v>
      </c>
      <c r="BM25" s="11">
        <v>5</v>
      </c>
      <c r="BN25" s="11">
        <v>1</v>
      </c>
      <c r="BO25" s="11">
        <v>3</v>
      </c>
      <c r="BP25" s="11">
        <v>6</v>
      </c>
      <c r="BQ25" s="11">
        <v>6</v>
      </c>
      <c r="BR25" s="11">
        <v>4</v>
      </c>
      <c r="BS25" s="27">
        <v>4</v>
      </c>
      <c r="BT25" s="26">
        <v>4</v>
      </c>
      <c r="BU25" s="11">
        <v>2</v>
      </c>
      <c r="BV25" s="11">
        <v>3</v>
      </c>
      <c r="BW25" s="11">
        <v>5</v>
      </c>
      <c r="BX25" s="11">
        <v>1</v>
      </c>
      <c r="BY25" s="11">
        <v>3</v>
      </c>
      <c r="BZ25" s="11">
        <v>6</v>
      </c>
      <c r="CA25" s="11">
        <v>6</v>
      </c>
      <c r="CB25" s="11">
        <v>4</v>
      </c>
      <c r="CC25" s="27">
        <v>4</v>
      </c>
      <c r="CD25" s="26">
        <v>4</v>
      </c>
      <c r="CE25" s="11">
        <v>2</v>
      </c>
      <c r="CF25" s="11">
        <v>3</v>
      </c>
      <c r="CG25" s="11">
        <v>5</v>
      </c>
      <c r="CH25" s="11">
        <v>1</v>
      </c>
      <c r="CI25" s="11">
        <v>3</v>
      </c>
      <c r="CJ25" s="11">
        <v>6</v>
      </c>
      <c r="CK25" s="11">
        <v>6</v>
      </c>
      <c r="CL25" s="11">
        <v>4</v>
      </c>
      <c r="CM25" s="27">
        <v>4</v>
      </c>
    </row>
    <row r="26" spans="1:91" x14ac:dyDescent="0.3">
      <c r="A26" s="44" t="str">
        <v>LxW - Packet Array  H</v>
      </c>
      <c r="B26" s="26">
        <v>1</v>
      </c>
      <c r="C26" s="11">
        <v>3</v>
      </c>
      <c r="D26" s="11">
        <v>2</v>
      </c>
      <c r="E26" s="11">
        <v>2</v>
      </c>
      <c r="F26" s="11">
        <v>3</v>
      </c>
      <c r="G26" s="11">
        <v>2</v>
      </c>
      <c r="H26" s="11">
        <v>1</v>
      </c>
      <c r="I26" s="11">
        <v>1</v>
      </c>
      <c r="J26" s="11">
        <v>2</v>
      </c>
      <c r="K26" s="27">
        <v>2</v>
      </c>
      <c r="L26" s="26">
        <v>1</v>
      </c>
      <c r="M26" s="11">
        <v>4</v>
      </c>
      <c r="N26" s="11">
        <v>3</v>
      </c>
      <c r="O26" s="11">
        <v>3</v>
      </c>
      <c r="P26" s="11">
        <v>4</v>
      </c>
      <c r="Q26" s="11">
        <v>2</v>
      </c>
      <c r="R26" s="11">
        <v>2</v>
      </c>
      <c r="S26" s="11">
        <v>2</v>
      </c>
      <c r="T26" s="11">
        <v>2</v>
      </c>
      <c r="U26" s="27">
        <v>2</v>
      </c>
      <c r="V26" s="26">
        <v>1</v>
      </c>
      <c r="W26" s="11">
        <v>3</v>
      </c>
      <c r="X26" s="11">
        <v>3</v>
      </c>
      <c r="Y26" s="11">
        <v>3</v>
      </c>
      <c r="Z26" s="11">
        <v>4</v>
      </c>
      <c r="AA26" s="11">
        <v>2</v>
      </c>
      <c r="AB26" s="11">
        <v>1</v>
      </c>
      <c r="AC26" s="11">
        <v>1</v>
      </c>
      <c r="AD26" s="11">
        <v>2</v>
      </c>
      <c r="AE26" s="27">
        <v>2</v>
      </c>
      <c r="AF26" s="26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0</v>
      </c>
      <c r="AO26" s="27">
        <v>0</v>
      </c>
      <c r="AP26" s="26">
        <v>0</v>
      </c>
      <c r="AQ26" s="11">
        <v>0</v>
      </c>
      <c r="AR26" s="11">
        <v>0</v>
      </c>
      <c r="AS26" s="11">
        <v>0</v>
      </c>
      <c r="AT26" s="11">
        <v>0</v>
      </c>
      <c r="AU26" s="11">
        <v>0</v>
      </c>
      <c r="AV26" s="11">
        <v>0</v>
      </c>
      <c r="AW26" s="11">
        <v>0</v>
      </c>
      <c r="AX26" s="11">
        <v>0</v>
      </c>
      <c r="AY26" s="27">
        <v>0</v>
      </c>
      <c r="AZ26" s="26">
        <v>0</v>
      </c>
      <c r="BA26" s="11">
        <v>1</v>
      </c>
      <c r="BB26" s="11">
        <v>0</v>
      </c>
      <c r="BC26" s="11">
        <v>0</v>
      </c>
      <c r="BD26" s="11">
        <v>1</v>
      </c>
      <c r="BE26" s="11">
        <v>0</v>
      </c>
      <c r="BF26" s="11">
        <v>0</v>
      </c>
      <c r="BG26" s="11">
        <v>0</v>
      </c>
      <c r="BH26" s="11">
        <v>0</v>
      </c>
      <c r="BI26" s="27">
        <v>0</v>
      </c>
      <c r="BJ26" s="26">
        <v>0</v>
      </c>
      <c r="BK26" s="11">
        <v>0</v>
      </c>
      <c r="BL26" s="11">
        <v>0</v>
      </c>
      <c r="BM26" s="11">
        <v>0</v>
      </c>
      <c r="BN26" s="11">
        <v>0</v>
      </c>
      <c r="BO26" s="11">
        <v>0</v>
      </c>
      <c r="BP26" s="11">
        <v>0</v>
      </c>
      <c r="BQ26" s="11">
        <v>0</v>
      </c>
      <c r="BR26" s="11">
        <v>0</v>
      </c>
      <c r="BS26" s="27">
        <v>0</v>
      </c>
      <c r="BT26" s="26">
        <v>0</v>
      </c>
      <c r="BU26" s="11">
        <v>0</v>
      </c>
      <c r="BV26" s="11">
        <v>0</v>
      </c>
      <c r="BW26" s="11">
        <v>0</v>
      </c>
      <c r="BX26" s="11">
        <v>0</v>
      </c>
      <c r="BY26" s="11">
        <v>0</v>
      </c>
      <c r="BZ26" s="11">
        <v>0</v>
      </c>
      <c r="CA26" s="11">
        <v>0</v>
      </c>
      <c r="CB26" s="11">
        <v>0</v>
      </c>
      <c r="CC26" s="27">
        <v>0</v>
      </c>
      <c r="CD26" s="26">
        <v>0</v>
      </c>
      <c r="CE26" s="11">
        <v>1</v>
      </c>
      <c r="CF26" s="11">
        <v>0</v>
      </c>
      <c r="CG26" s="11">
        <v>0</v>
      </c>
      <c r="CH26" s="11">
        <v>1</v>
      </c>
      <c r="CI26" s="11">
        <v>0</v>
      </c>
      <c r="CJ26" s="11">
        <v>0</v>
      </c>
      <c r="CK26" s="11">
        <v>0</v>
      </c>
      <c r="CL26" s="11">
        <v>0</v>
      </c>
      <c r="CM26" s="27">
        <v>0</v>
      </c>
    </row>
    <row r="27" spans="1:91" x14ac:dyDescent="0.3">
      <c r="A27" s="44" t="str">
        <v>LxW - Parts / Layer</v>
      </c>
      <c r="B27" s="26">
        <v>39</v>
      </c>
      <c r="C27" s="11">
        <v>32</v>
      </c>
      <c r="D27" s="11">
        <v>20</v>
      </c>
      <c r="E27" s="11">
        <v>32</v>
      </c>
      <c r="F27" s="11">
        <v>6</v>
      </c>
      <c r="G27" s="11">
        <v>18</v>
      </c>
      <c r="H27" s="11">
        <v>120</v>
      </c>
      <c r="I27" s="11">
        <v>120</v>
      </c>
      <c r="J27" s="11">
        <v>70</v>
      </c>
      <c r="K27" s="27">
        <v>56</v>
      </c>
      <c r="L27" s="26">
        <v>28</v>
      </c>
      <c r="M27" s="11">
        <v>24</v>
      </c>
      <c r="N27" s="11">
        <v>11</v>
      </c>
      <c r="O27" s="11">
        <v>32</v>
      </c>
      <c r="P27" s="11">
        <v>4</v>
      </c>
      <c r="Q27" s="11">
        <v>10</v>
      </c>
      <c r="R27" s="11">
        <v>105</v>
      </c>
      <c r="S27" s="11">
        <v>105</v>
      </c>
      <c r="T27" s="11">
        <v>60</v>
      </c>
      <c r="U27" s="27">
        <v>45</v>
      </c>
      <c r="V27" s="26">
        <v>18</v>
      </c>
      <c r="W27" s="11">
        <v>18</v>
      </c>
      <c r="X27" s="11">
        <v>7</v>
      </c>
      <c r="Y27" s="11">
        <v>11</v>
      </c>
      <c r="Z27" s="11">
        <v>2</v>
      </c>
      <c r="AA27" s="11">
        <v>6</v>
      </c>
      <c r="AB27" s="11">
        <v>70</v>
      </c>
      <c r="AC27" s="11">
        <v>70</v>
      </c>
      <c r="AD27" s="11">
        <v>40</v>
      </c>
      <c r="AE27" s="27">
        <v>30</v>
      </c>
      <c r="AF27" s="26">
        <v>6</v>
      </c>
      <c r="AG27" s="11">
        <v>4</v>
      </c>
      <c r="AH27" s="11">
        <v>0</v>
      </c>
      <c r="AI27" s="11">
        <v>0</v>
      </c>
      <c r="AJ27" s="11">
        <v>0</v>
      </c>
      <c r="AK27" s="11">
        <v>0</v>
      </c>
      <c r="AL27" s="11">
        <v>20</v>
      </c>
      <c r="AM27" s="11">
        <v>20</v>
      </c>
      <c r="AN27" s="11">
        <v>14</v>
      </c>
      <c r="AO27" s="27">
        <v>7</v>
      </c>
      <c r="AP27" s="26">
        <v>6</v>
      </c>
      <c r="AQ27" s="11">
        <v>4</v>
      </c>
      <c r="AR27" s="11">
        <v>0</v>
      </c>
      <c r="AS27" s="11">
        <v>0</v>
      </c>
      <c r="AT27" s="11">
        <v>0</v>
      </c>
      <c r="AU27" s="11">
        <v>0</v>
      </c>
      <c r="AV27" s="11">
        <v>20</v>
      </c>
      <c r="AW27" s="11">
        <v>20</v>
      </c>
      <c r="AX27" s="11">
        <v>14</v>
      </c>
      <c r="AY27" s="27">
        <v>7</v>
      </c>
      <c r="AZ27" s="26">
        <v>6</v>
      </c>
      <c r="BA27" s="11">
        <v>4</v>
      </c>
      <c r="BB27" s="11">
        <v>0</v>
      </c>
      <c r="BC27" s="11">
        <v>0</v>
      </c>
      <c r="BD27" s="11">
        <v>0</v>
      </c>
      <c r="BE27" s="11">
        <v>0</v>
      </c>
      <c r="BF27" s="11">
        <v>20</v>
      </c>
      <c r="BG27" s="11">
        <v>20</v>
      </c>
      <c r="BH27" s="11">
        <v>14</v>
      </c>
      <c r="BI27" s="27">
        <v>7</v>
      </c>
      <c r="BJ27" s="26">
        <v>0</v>
      </c>
      <c r="BK27" s="11">
        <v>2</v>
      </c>
      <c r="BL27" s="11">
        <v>0</v>
      </c>
      <c r="BM27" s="11">
        <v>0</v>
      </c>
      <c r="BN27" s="11">
        <v>0</v>
      </c>
      <c r="BO27" s="11">
        <v>0</v>
      </c>
      <c r="BP27" s="11">
        <v>6</v>
      </c>
      <c r="BQ27" s="11">
        <v>6</v>
      </c>
      <c r="BR27" s="11">
        <v>4</v>
      </c>
      <c r="BS27" s="27">
        <v>4</v>
      </c>
      <c r="BT27" s="26">
        <v>0</v>
      </c>
      <c r="BU27" s="11">
        <v>2</v>
      </c>
      <c r="BV27" s="11">
        <v>0</v>
      </c>
      <c r="BW27" s="11">
        <v>0</v>
      </c>
      <c r="BX27" s="11">
        <v>0</v>
      </c>
      <c r="BY27" s="11">
        <v>0</v>
      </c>
      <c r="BZ27" s="11">
        <v>6</v>
      </c>
      <c r="CA27" s="11">
        <v>6</v>
      </c>
      <c r="CB27" s="11">
        <v>4</v>
      </c>
      <c r="CC27" s="27">
        <v>4</v>
      </c>
      <c r="CD27" s="26">
        <v>0</v>
      </c>
      <c r="CE27" s="11">
        <v>2</v>
      </c>
      <c r="CF27" s="11">
        <v>0</v>
      </c>
      <c r="CG27" s="11">
        <v>0</v>
      </c>
      <c r="CH27" s="11">
        <v>0</v>
      </c>
      <c r="CI27" s="11">
        <v>0</v>
      </c>
      <c r="CJ27" s="11">
        <v>6</v>
      </c>
      <c r="CK27" s="11">
        <v>6</v>
      </c>
      <c r="CL27" s="11">
        <v>4</v>
      </c>
      <c r="CM27" s="27">
        <v>4</v>
      </c>
    </row>
    <row r="28" spans="1:91" x14ac:dyDescent="0.3">
      <c r="A28" s="44" t="str">
        <v>LxW - Layers / GLT</v>
      </c>
      <c r="B28" s="26">
        <v>1</v>
      </c>
      <c r="C28" s="11">
        <v>3</v>
      </c>
      <c r="D28" s="11">
        <v>2</v>
      </c>
      <c r="E28" s="11">
        <v>2</v>
      </c>
      <c r="F28" s="11">
        <v>3</v>
      </c>
      <c r="G28" s="11">
        <v>2</v>
      </c>
      <c r="H28" s="11">
        <v>1</v>
      </c>
      <c r="I28" s="11">
        <v>1</v>
      </c>
      <c r="J28" s="11">
        <v>2</v>
      </c>
      <c r="K28" s="27">
        <v>2</v>
      </c>
      <c r="L28" s="26">
        <v>1</v>
      </c>
      <c r="M28" s="11">
        <v>4</v>
      </c>
      <c r="N28" s="11">
        <v>3</v>
      </c>
      <c r="O28" s="11">
        <v>3</v>
      </c>
      <c r="P28" s="11">
        <v>4</v>
      </c>
      <c r="Q28" s="11">
        <v>2</v>
      </c>
      <c r="R28" s="11">
        <v>2</v>
      </c>
      <c r="S28" s="11">
        <v>2</v>
      </c>
      <c r="T28" s="11">
        <v>2</v>
      </c>
      <c r="U28" s="27">
        <v>2</v>
      </c>
      <c r="V28" s="26">
        <v>1</v>
      </c>
      <c r="W28" s="11">
        <v>3</v>
      </c>
      <c r="X28" s="11">
        <v>3</v>
      </c>
      <c r="Y28" s="11">
        <v>3</v>
      </c>
      <c r="Z28" s="11">
        <v>4</v>
      </c>
      <c r="AA28" s="11">
        <v>2</v>
      </c>
      <c r="AB28" s="11">
        <v>1</v>
      </c>
      <c r="AC28" s="11">
        <v>1</v>
      </c>
      <c r="AD28" s="11">
        <v>2</v>
      </c>
      <c r="AE28" s="27">
        <v>2</v>
      </c>
      <c r="AF28" s="26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L28" s="11">
        <v>0</v>
      </c>
      <c r="AM28" s="11">
        <v>0</v>
      </c>
      <c r="AN28" s="11">
        <v>0</v>
      </c>
      <c r="AO28" s="27">
        <v>0</v>
      </c>
      <c r="AP28" s="26">
        <v>0</v>
      </c>
      <c r="AQ28" s="11">
        <v>0</v>
      </c>
      <c r="AR28" s="11">
        <v>0</v>
      </c>
      <c r="AS28" s="11">
        <v>0</v>
      </c>
      <c r="AT28" s="11">
        <v>0</v>
      </c>
      <c r="AU28" s="11">
        <v>0</v>
      </c>
      <c r="AV28" s="11">
        <v>0</v>
      </c>
      <c r="AW28" s="11">
        <v>0</v>
      </c>
      <c r="AX28" s="11">
        <v>0</v>
      </c>
      <c r="AY28" s="27">
        <v>0</v>
      </c>
      <c r="AZ28" s="26">
        <v>0</v>
      </c>
      <c r="BA28" s="11">
        <v>1</v>
      </c>
      <c r="BB28" s="11">
        <v>0</v>
      </c>
      <c r="BC28" s="11">
        <v>0</v>
      </c>
      <c r="BD28" s="11">
        <v>1</v>
      </c>
      <c r="BE28" s="11">
        <v>0</v>
      </c>
      <c r="BF28" s="11">
        <v>0</v>
      </c>
      <c r="BG28" s="11">
        <v>0</v>
      </c>
      <c r="BH28" s="11">
        <v>0</v>
      </c>
      <c r="BI28" s="27">
        <v>0</v>
      </c>
      <c r="BJ28" s="26">
        <v>0</v>
      </c>
      <c r="BK28" s="11">
        <v>0</v>
      </c>
      <c r="BL28" s="11">
        <v>0</v>
      </c>
      <c r="BM28" s="11">
        <v>0</v>
      </c>
      <c r="BN28" s="11">
        <v>0</v>
      </c>
      <c r="BO28" s="11">
        <v>0</v>
      </c>
      <c r="BP28" s="11">
        <v>0</v>
      </c>
      <c r="BQ28" s="11">
        <v>0</v>
      </c>
      <c r="BR28" s="11">
        <v>0</v>
      </c>
      <c r="BS28" s="27">
        <v>0</v>
      </c>
      <c r="BT28" s="26">
        <v>0</v>
      </c>
      <c r="BU28" s="11">
        <v>0</v>
      </c>
      <c r="BV28" s="11">
        <v>0</v>
      </c>
      <c r="BW28" s="11">
        <v>0</v>
      </c>
      <c r="BX28" s="11">
        <v>0</v>
      </c>
      <c r="BY28" s="11">
        <v>0</v>
      </c>
      <c r="BZ28" s="11">
        <v>0</v>
      </c>
      <c r="CA28" s="11">
        <v>0</v>
      </c>
      <c r="CB28" s="11">
        <v>0</v>
      </c>
      <c r="CC28" s="27">
        <v>0</v>
      </c>
      <c r="CD28" s="26">
        <v>0</v>
      </c>
      <c r="CE28" s="11">
        <v>1</v>
      </c>
      <c r="CF28" s="11">
        <v>0</v>
      </c>
      <c r="CG28" s="11">
        <v>0</v>
      </c>
      <c r="CH28" s="11">
        <v>1</v>
      </c>
      <c r="CI28" s="11">
        <v>0</v>
      </c>
      <c r="CJ28" s="11">
        <v>0</v>
      </c>
      <c r="CK28" s="11">
        <v>0</v>
      </c>
      <c r="CL28" s="11">
        <v>0</v>
      </c>
      <c r="CM28" s="27">
        <v>0</v>
      </c>
    </row>
    <row r="29" spans="1:91" x14ac:dyDescent="0.3">
      <c r="A29" s="46" t="str">
        <v>LxW - Parts / GLT</v>
      </c>
      <c r="B29" s="34">
        <v>39</v>
      </c>
      <c r="C29" s="35">
        <v>96</v>
      </c>
      <c r="D29" s="35">
        <v>40</v>
      </c>
      <c r="E29" s="35">
        <v>64</v>
      </c>
      <c r="F29" s="35">
        <v>18</v>
      </c>
      <c r="G29" s="35">
        <v>36</v>
      </c>
      <c r="H29" s="35">
        <v>120</v>
      </c>
      <c r="I29" s="35">
        <v>120</v>
      </c>
      <c r="J29" s="35">
        <v>140</v>
      </c>
      <c r="K29" s="36">
        <v>112</v>
      </c>
      <c r="L29" s="34">
        <v>28</v>
      </c>
      <c r="M29" s="35">
        <v>96</v>
      </c>
      <c r="N29" s="35">
        <v>33</v>
      </c>
      <c r="O29" s="35">
        <v>96</v>
      </c>
      <c r="P29" s="35">
        <v>16</v>
      </c>
      <c r="Q29" s="35">
        <v>20</v>
      </c>
      <c r="R29" s="35">
        <v>210</v>
      </c>
      <c r="S29" s="35">
        <v>210</v>
      </c>
      <c r="T29" s="35">
        <v>120</v>
      </c>
      <c r="U29" s="36">
        <v>90</v>
      </c>
      <c r="V29" s="34">
        <v>18</v>
      </c>
      <c r="W29" s="35">
        <v>54</v>
      </c>
      <c r="X29" s="35">
        <v>21</v>
      </c>
      <c r="Y29" s="35">
        <v>33</v>
      </c>
      <c r="Z29" s="35">
        <v>8</v>
      </c>
      <c r="AA29" s="35">
        <v>12</v>
      </c>
      <c r="AB29" s="35">
        <v>70</v>
      </c>
      <c r="AC29" s="35">
        <v>70</v>
      </c>
      <c r="AD29" s="35">
        <v>80</v>
      </c>
      <c r="AE29" s="36">
        <v>60</v>
      </c>
      <c r="AF29" s="34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  <c r="AO29" s="36">
        <v>0</v>
      </c>
      <c r="AP29" s="34">
        <v>0</v>
      </c>
      <c r="AQ29" s="35">
        <v>0</v>
      </c>
      <c r="AR29" s="35">
        <v>0</v>
      </c>
      <c r="AS29" s="35">
        <v>0</v>
      </c>
      <c r="AT29" s="35">
        <v>0</v>
      </c>
      <c r="AU29" s="35">
        <v>0</v>
      </c>
      <c r="AV29" s="35">
        <v>0</v>
      </c>
      <c r="AW29" s="35">
        <v>0</v>
      </c>
      <c r="AX29" s="35">
        <v>0</v>
      </c>
      <c r="AY29" s="36">
        <v>0</v>
      </c>
      <c r="AZ29" s="34">
        <v>0</v>
      </c>
      <c r="BA29" s="35">
        <v>4</v>
      </c>
      <c r="BB29" s="35">
        <v>0</v>
      </c>
      <c r="BC29" s="35">
        <v>0</v>
      </c>
      <c r="BD29" s="35">
        <v>0</v>
      </c>
      <c r="BE29" s="35">
        <v>0</v>
      </c>
      <c r="BF29" s="35">
        <v>0</v>
      </c>
      <c r="BG29" s="35">
        <v>0</v>
      </c>
      <c r="BH29" s="35">
        <v>0</v>
      </c>
      <c r="BI29" s="36">
        <v>0</v>
      </c>
      <c r="BJ29" s="34">
        <v>0</v>
      </c>
      <c r="BK29" s="35">
        <v>0</v>
      </c>
      <c r="BL29" s="35">
        <v>0</v>
      </c>
      <c r="BM29" s="35">
        <v>0</v>
      </c>
      <c r="BN29" s="35">
        <v>0</v>
      </c>
      <c r="BO29" s="35">
        <v>0</v>
      </c>
      <c r="BP29" s="35">
        <v>0</v>
      </c>
      <c r="BQ29" s="35">
        <v>0</v>
      </c>
      <c r="BR29" s="35">
        <v>0</v>
      </c>
      <c r="BS29" s="36">
        <v>0</v>
      </c>
      <c r="BT29" s="34">
        <v>0</v>
      </c>
      <c r="BU29" s="35">
        <v>0</v>
      </c>
      <c r="BV29" s="35">
        <v>0</v>
      </c>
      <c r="BW29" s="35">
        <v>0</v>
      </c>
      <c r="BX29" s="35">
        <v>0</v>
      </c>
      <c r="BY29" s="35">
        <v>0</v>
      </c>
      <c r="BZ29" s="35">
        <v>0</v>
      </c>
      <c r="CA29" s="35">
        <v>0</v>
      </c>
      <c r="CB29" s="35">
        <v>0</v>
      </c>
      <c r="CC29" s="36">
        <v>0</v>
      </c>
      <c r="CD29" s="34">
        <v>0</v>
      </c>
      <c r="CE29" s="35">
        <v>2</v>
      </c>
      <c r="CF29" s="35">
        <v>0</v>
      </c>
      <c r="CG29" s="35">
        <v>0</v>
      </c>
      <c r="CH29" s="35">
        <v>0</v>
      </c>
      <c r="CI29" s="35">
        <v>0</v>
      </c>
      <c r="CJ29" s="35">
        <v>0</v>
      </c>
      <c r="CK29" s="35">
        <v>0</v>
      </c>
      <c r="CL29" s="35">
        <v>0</v>
      </c>
      <c r="CM29" s="36">
        <v>0</v>
      </c>
    </row>
    <row r="30" spans="1:91" x14ac:dyDescent="0.3">
      <c r="A30" s="44" t="str">
        <v>LxH - GLT Size ID(mm)</v>
      </c>
      <c r="B30" s="26">
        <v>640</v>
      </c>
      <c r="C30" s="11">
        <v>640</v>
      </c>
      <c r="D30" s="11">
        <v>640</v>
      </c>
      <c r="E30" s="11">
        <v>640</v>
      </c>
      <c r="F30" s="11">
        <v>640</v>
      </c>
      <c r="G30" s="11">
        <v>640</v>
      </c>
      <c r="H30" s="11">
        <v>640</v>
      </c>
      <c r="I30" s="11">
        <v>640</v>
      </c>
      <c r="J30" s="11">
        <v>640</v>
      </c>
      <c r="K30" s="27">
        <v>640</v>
      </c>
      <c r="L30" s="26">
        <v>780</v>
      </c>
      <c r="M30" s="11">
        <v>780</v>
      </c>
      <c r="N30" s="11">
        <v>780</v>
      </c>
      <c r="O30" s="11">
        <v>780</v>
      </c>
      <c r="P30" s="11">
        <v>780</v>
      </c>
      <c r="Q30" s="11">
        <v>780</v>
      </c>
      <c r="R30" s="11">
        <v>780</v>
      </c>
      <c r="S30" s="11">
        <v>780</v>
      </c>
      <c r="T30" s="11">
        <v>780</v>
      </c>
      <c r="U30" s="27">
        <v>780</v>
      </c>
      <c r="V30" s="26">
        <v>720</v>
      </c>
      <c r="W30" s="11">
        <v>720</v>
      </c>
      <c r="X30" s="11">
        <v>720</v>
      </c>
      <c r="Y30" s="11">
        <v>720</v>
      </c>
      <c r="Z30" s="11">
        <v>720</v>
      </c>
      <c r="AA30" s="11">
        <v>720</v>
      </c>
      <c r="AB30" s="11">
        <v>720</v>
      </c>
      <c r="AC30" s="11">
        <v>720</v>
      </c>
      <c r="AD30" s="11">
        <v>720</v>
      </c>
      <c r="AE30" s="27">
        <v>720</v>
      </c>
      <c r="AF30" s="26">
        <v>105</v>
      </c>
      <c r="AG30" s="11">
        <v>105</v>
      </c>
      <c r="AH30" s="11">
        <v>105</v>
      </c>
      <c r="AI30" s="11">
        <v>105</v>
      </c>
      <c r="AJ30" s="11">
        <v>105</v>
      </c>
      <c r="AK30" s="11">
        <v>105</v>
      </c>
      <c r="AL30" s="11">
        <v>105</v>
      </c>
      <c r="AM30" s="11">
        <v>105</v>
      </c>
      <c r="AN30" s="11">
        <v>105</v>
      </c>
      <c r="AO30" s="27">
        <v>105</v>
      </c>
      <c r="AP30" s="26">
        <v>155</v>
      </c>
      <c r="AQ30" s="11">
        <v>155</v>
      </c>
      <c r="AR30" s="11">
        <v>155</v>
      </c>
      <c r="AS30" s="11">
        <v>155</v>
      </c>
      <c r="AT30" s="11">
        <v>155</v>
      </c>
      <c r="AU30" s="11">
        <v>155</v>
      </c>
      <c r="AV30" s="11">
        <v>155</v>
      </c>
      <c r="AW30" s="11">
        <v>155</v>
      </c>
      <c r="AX30" s="11">
        <v>155</v>
      </c>
      <c r="AY30" s="27">
        <v>155</v>
      </c>
      <c r="AZ30" s="26">
        <v>205</v>
      </c>
      <c r="BA30" s="11">
        <v>205</v>
      </c>
      <c r="BB30" s="11">
        <v>205</v>
      </c>
      <c r="BC30" s="11">
        <v>205</v>
      </c>
      <c r="BD30" s="11">
        <v>205</v>
      </c>
      <c r="BE30" s="11">
        <v>205</v>
      </c>
      <c r="BF30" s="11">
        <v>205</v>
      </c>
      <c r="BG30" s="11">
        <v>205</v>
      </c>
      <c r="BH30" s="11">
        <v>205</v>
      </c>
      <c r="BI30" s="27">
        <v>205</v>
      </c>
      <c r="BJ30" s="26">
        <v>105</v>
      </c>
      <c r="BK30" s="11">
        <v>105</v>
      </c>
      <c r="BL30" s="11">
        <v>105</v>
      </c>
      <c r="BM30" s="11">
        <v>105</v>
      </c>
      <c r="BN30" s="11">
        <v>105</v>
      </c>
      <c r="BO30" s="11">
        <v>105</v>
      </c>
      <c r="BP30" s="11">
        <v>105</v>
      </c>
      <c r="BQ30" s="11">
        <v>105</v>
      </c>
      <c r="BR30" s="11">
        <v>105</v>
      </c>
      <c r="BS30" s="27">
        <v>105</v>
      </c>
      <c r="BT30" s="26">
        <v>155</v>
      </c>
      <c r="BU30" s="11">
        <v>155</v>
      </c>
      <c r="BV30" s="11">
        <v>155</v>
      </c>
      <c r="BW30" s="11">
        <v>155</v>
      </c>
      <c r="BX30" s="11">
        <v>155</v>
      </c>
      <c r="BY30" s="11">
        <v>155</v>
      </c>
      <c r="BZ30" s="11">
        <v>155</v>
      </c>
      <c r="CA30" s="11">
        <v>155</v>
      </c>
      <c r="CB30" s="11">
        <v>155</v>
      </c>
      <c r="CC30" s="27">
        <v>155</v>
      </c>
      <c r="CD30" s="26">
        <v>205</v>
      </c>
      <c r="CE30" s="11">
        <v>205</v>
      </c>
      <c r="CF30" s="11">
        <v>205</v>
      </c>
      <c r="CG30" s="11">
        <v>205</v>
      </c>
      <c r="CH30" s="11">
        <v>205</v>
      </c>
      <c r="CI30" s="11">
        <v>205</v>
      </c>
      <c r="CJ30" s="11">
        <v>205</v>
      </c>
      <c r="CK30" s="11">
        <v>205</v>
      </c>
      <c r="CL30" s="11">
        <v>205</v>
      </c>
      <c r="CM30" s="27">
        <v>205</v>
      </c>
    </row>
    <row r="31" spans="1:91" x14ac:dyDescent="0.3">
      <c r="A31" s="44" t="str">
        <v>LxH - GLT Size ID(mm)</v>
      </c>
      <c r="B31" s="26">
        <v>1120</v>
      </c>
      <c r="C31" s="11">
        <v>1120</v>
      </c>
      <c r="D31" s="11">
        <v>1120</v>
      </c>
      <c r="E31" s="11">
        <v>1120</v>
      </c>
      <c r="F31" s="11">
        <v>1120</v>
      </c>
      <c r="G31" s="11">
        <v>1120</v>
      </c>
      <c r="H31" s="11">
        <v>1120</v>
      </c>
      <c r="I31" s="11">
        <v>1120</v>
      </c>
      <c r="J31" s="11">
        <v>1120</v>
      </c>
      <c r="K31" s="27">
        <v>1120</v>
      </c>
      <c r="L31" s="26">
        <v>1155</v>
      </c>
      <c r="M31" s="11">
        <v>1155</v>
      </c>
      <c r="N31" s="11">
        <v>1155</v>
      </c>
      <c r="O31" s="11">
        <v>1155</v>
      </c>
      <c r="P31" s="11">
        <v>1155</v>
      </c>
      <c r="Q31" s="11">
        <v>1155</v>
      </c>
      <c r="R31" s="11">
        <v>1155</v>
      </c>
      <c r="S31" s="11">
        <v>1155</v>
      </c>
      <c r="T31" s="11">
        <v>1155</v>
      </c>
      <c r="U31" s="27">
        <v>1155</v>
      </c>
      <c r="V31" s="26">
        <v>780</v>
      </c>
      <c r="W31" s="11">
        <v>780</v>
      </c>
      <c r="X31" s="11">
        <v>780</v>
      </c>
      <c r="Y31" s="11">
        <v>780</v>
      </c>
      <c r="Z31" s="11">
        <v>780</v>
      </c>
      <c r="AA31" s="11">
        <v>780</v>
      </c>
      <c r="AB31" s="11">
        <v>780</v>
      </c>
      <c r="AC31" s="11">
        <v>780</v>
      </c>
      <c r="AD31" s="11">
        <v>780</v>
      </c>
      <c r="AE31" s="27">
        <v>780</v>
      </c>
      <c r="AF31" s="26">
        <v>560</v>
      </c>
      <c r="AG31" s="11">
        <v>560</v>
      </c>
      <c r="AH31" s="11">
        <v>560</v>
      </c>
      <c r="AI31" s="11">
        <v>560</v>
      </c>
      <c r="AJ31" s="11">
        <v>560</v>
      </c>
      <c r="AK31" s="11">
        <v>560</v>
      </c>
      <c r="AL31" s="11">
        <v>560</v>
      </c>
      <c r="AM31" s="11">
        <v>560</v>
      </c>
      <c r="AN31" s="11">
        <v>560</v>
      </c>
      <c r="AO31" s="27">
        <v>560</v>
      </c>
      <c r="AP31" s="26">
        <v>560</v>
      </c>
      <c r="AQ31" s="11">
        <v>560</v>
      </c>
      <c r="AR31" s="11">
        <v>560</v>
      </c>
      <c r="AS31" s="11">
        <v>560</v>
      </c>
      <c r="AT31" s="11">
        <v>560</v>
      </c>
      <c r="AU31" s="11">
        <v>560</v>
      </c>
      <c r="AV31" s="11">
        <v>560</v>
      </c>
      <c r="AW31" s="11">
        <v>560</v>
      </c>
      <c r="AX31" s="11">
        <v>560</v>
      </c>
      <c r="AY31" s="27">
        <v>560</v>
      </c>
      <c r="AZ31" s="26">
        <v>560</v>
      </c>
      <c r="BA31" s="11">
        <v>560</v>
      </c>
      <c r="BB31" s="11">
        <v>560</v>
      </c>
      <c r="BC31" s="11">
        <v>560</v>
      </c>
      <c r="BD31" s="11">
        <v>560</v>
      </c>
      <c r="BE31" s="11">
        <v>560</v>
      </c>
      <c r="BF31" s="11">
        <v>560</v>
      </c>
      <c r="BG31" s="11">
        <v>560</v>
      </c>
      <c r="BH31" s="11">
        <v>560</v>
      </c>
      <c r="BI31" s="27">
        <v>560</v>
      </c>
      <c r="BJ31" s="26">
        <v>360</v>
      </c>
      <c r="BK31" s="11">
        <v>360</v>
      </c>
      <c r="BL31" s="11">
        <v>360</v>
      </c>
      <c r="BM31" s="11">
        <v>360</v>
      </c>
      <c r="BN31" s="11">
        <v>360</v>
      </c>
      <c r="BO31" s="11">
        <v>360</v>
      </c>
      <c r="BP31" s="11">
        <v>360</v>
      </c>
      <c r="BQ31" s="11">
        <v>360</v>
      </c>
      <c r="BR31" s="11">
        <v>360</v>
      </c>
      <c r="BS31" s="27">
        <v>360</v>
      </c>
      <c r="BT31" s="26">
        <v>360</v>
      </c>
      <c r="BU31" s="11">
        <v>360</v>
      </c>
      <c r="BV31" s="11">
        <v>360</v>
      </c>
      <c r="BW31" s="11">
        <v>360</v>
      </c>
      <c r="BX31" s="11">
        <v>360</v>
      </c>
      <c r="BY31" s="11">
        <v>360</v>
      </c>
      <c r="BZ31" s="11">
        <v>360</v>
      </c>
      <c r="CA31" s="11">
        <v>360</v>
      </c>
      <c r="CB31" s="11">
        <v>360</v>
      </c>
      <c r="CC31" s="27">
        <v>360</v>
      </c>
      <c r="CD31" s="26">
        <v>360</v>
      </c>
      <c r="CE31" s="11">
        <v>360</v>
      </c>
      <c r="CF31" s="11">
        <v>360</v>
      </c>
      <c r="CG31" s="11">
        <v>360</v>
      </c>
      <c r="CH31" s="11">
        <v>360</v>
      </c>
      <c r="CI31" s="11">
        <v>360</v>
      </c>
      <c r="CJ31" s="11">
        <v>360</v>
      </c>
      <c r="CK31" s="11">
        <v>360</v>
      </c>
      <c r="CL31" s="11">
        <v>360</v>
      </c>
      <c r="CM31" s="27">
        <v>360</v>
      </c>
    </row>
    <row r="32" spans="1:91" x14ac:dyDescent="0.3">
      <c r="A32" s="44" t="str">
        <v>LxH - GLT Size ID(mm)</v>
      </c>
      <c r="B32" s="26">
        <v>920</v>
      </c>
      <c r="C32" s="11">
        <v>920</v>
      </c>
      <c r="D32" s="11">
        <v>920</v>
      </c>
      <c r="E32" s="11">
        <v>920</v>
      </c>
      <c r="F32" s="11">
        <v>920</v>
      </c>
      <c r="G32" s="11">
        <v>920</v>
      </c>
      <c r="H32" s="11">
        <v>920</v>
      </c>
      <c r="I32" s="11">
        <v>920</v>
      </c>
      <c r="J32" s="11">
        <v>920</v>
      </c>
      <c r="K32" s="27">
        <v>920</v>
      </c>
      <c r="L32" s="26">
        <v>755</v>
      </c>
      <c r="M32" s="11">
        <v>755</v>
      </c>
      <c r="N32" s="11">
        <v>755</v>
      </c>
      <c r="O32" s="11">
        <v>755</v>
      </c>
      <c r="P32" s="11">
        <v>755</v>
      </c>
      <c r="Q32" s="11">
        <v>755</v>
      </c>
      <c r="R32" s="11">
        <v>755</v>
      </c>
      <c r="S32" s="11">
        <v>755</v>
      </c>
      <c r="T32" s="11">
        <v>755</v>
      </c>
      <c r="U32" s="27">
        <v>755</v>
      </c>
      <c r="V32" s="26">
        <v>730</v>
      </c>
      <c r="W32" s="11">
        <v>730</v>
      </c>
      <c r="X32" s="11">
        <v>730</v>
      </c>
      <c r="Y32" s="11">
        <v>730</v>
      </c>
      <c r="Z32" s="11">
        <v>730</v>
      </c>
      <c r="AA32" s="11">
        <v>730</v>
      </c>
      <c r="AB32" s="11">
        <v>730</v>
      </c>
      <c r="AC32" s="11">
        <v>730</v>
      </c>
      <c r="AD32" s="11">
        <v>730</v>
      </c>
      <c r="AE32" s="27">
        <v>730</v>
      </c>
      <c r="AF32" s="26">
        <v>360</v>
      </c>
      <c r="AG32" s="11">
        <v>360</v>
      </c>
      <c r="AH32" s="11">
        <v>360</v>
      </c>
      <c r="AI32" s="11">
        <v>360</v>
      </c>
      <c r="AJ32" s="11">
        <v>360</v>
      </c>
      <c r="AK32" s="11">
        <v>360</v>
      </c>
      <c r="AL32" s="11">
        <v>360</v>
      </c>
      <c r="AM32" s="11">
        <v>360</v>
      </c>
      <c r="AN32" s="11">
        <v>360</v>
      </c>
      <c r="AO32" s="27">
        <v>360</v>
      </c>
      <c r="AP32" s="26">
        <v>360</v>
      </c>
      <c r="AQ32" s="11">
        <v>360</v>
      </c>
      <c r="AR32" s="11">
        <v>360</v>
      </c>
      <c r="AS32" s="11">
        <v>360</v>
      </c>
      <c r="AT32" s="11">
        <v>360</v>
      </c>
      <c r="AU32" s="11">
        <v>360</v>
      </c>
      <c r="AV32" s="11">
        <v>360</v>
      </c>
      <c r="AW32" s="11">
        <v>360</v>
      </c>
      <c r="AX32" s="11">
        <v>360</v>
      </c>
      <c r="AY32" s="27">
        <v>360</v>
      </c>
      <c r="AZ32" s="26">
        <v>360</v>
      </c>
      <c r="BA32" s="11">
        <v>360</v>
      </c>
      <c r="BB32" s="11">
        <v>360</v>
      </c>
      <c r="BC32" s="11">
        <v>360</v>
      </c>
      <c r="BD32" s="11">
        <v>360</v>
      </c>
      <c r="BE32" s="11">
        <v>360</v>
      </c>
      <c r="BF32" s="11">
        <v>360</v>
      </c>
      <c r="BG32" s="11">
        <v>360</v>
      </c>
      <c r="BH32" s="11">
        <v>360</v>
      </c>
      <c r="BI32" s="27">
        <v>360</v>
      </c>
      <c r="BJ32" s="26">
        <v>260</v>
      </c>
      <c r="BK32" s="11">
        <v>260</v>
      </c>
      <c r="BL32" s="11">
        <v>260</v>
      </c>
      <c r="BM32" s="11">
        <v>260</v>
      </c>
      <c r="BN32" s="11">
        <v>260</v>
      </c>
      <c r="BO32" s="11">
        <v>260</v>
      </c>
      <c r="BP32" s="11">
        <v>260</v>
      </c>
      <c r="BQ32" s="11">
        <v>260</v>
      </c>
      <c r="BR32" s="11">
        <v>260</v>
      </c>
      <c r="BS32" s="27">
        <v>260</v>
      </c>
      <c r="BT32" s="26">
        <v>260</v>
      </c>
      <c r="BU32" s="11">
        <v>260</v>
      </c>
      <c r="BV32" s="11">
        <v>260</v>
      </c>
      <c r="BW32" s="11">
        <v>260</v>
      </c>
      <c r="BX32" s="11">
        <v>260</v>
      </c>
      <c r="BY32" s="11">
        <v>260</v>
      </c>
      <c r="BZ32" s="11">
        <v>260</v>
      </c>
      <c r="CA32" s="11">
        <v>260</v>
      </c>
      <c r="CB32" s="11">
        <v>260</v>
      </c>
      <c r="CC32" s="27">
        <v>260</v>
      </c>
      <c r="CD32" s="26">
        <v>260</v>
      </c>
      <c r="CE32" s="11">
        <v>260</v>
      </c>
      <c r="CF32" s="11">
        <v>260</v>
      </c>
      <c r="CG32" s="11">
        <v>260</v>
      </c>
      <c r="CH32" s="11">
        <v>260</v>
      </c>
      <c r="CI32" s="11">
        <v>260</v>
      </c>
      <c r="CJ32" s="11">
        <v>260</v>
      </c>
      <c r="CK32" s="11">
        <v>260</v>
      </c>
      <c r="CL32" s="11">
        <v>260</v>
      </c>
      <c r="CM32" s="27">
        <v>260</v>
      </c>
    </row>
    <row r="33" spans="1:91" x14ac:dyDescent="0.3">
      <c r="A33" s="44" t="str">
        <v>LxH - Packet Array  L</v>
      </c>
      <c r="B33" s="26">
        <v>2</v>
      </c>
      <c r="C33" s="11">
        <v>2</v>
      </c>
      <c r="D33" s="11">
        <v>1</v>
      </c>
      <c r="E33" s="11">
        <v>1</v>
      </c>
      <c r="F33" s="11">
        <v>1</v>
      </c>
      <c r="G33" s="11">
        <v>1</v>
      </c>
      <c r="H33" s="11">
        <v>4</v>
      </c>
      <c r="I33" s="11">
        <v>4</v>
      </c>
      <c r="J33" s="11">
        <v>3</v>
      </c>
      <c r="K33" s="27">
        <v>2</v>
      </c>
      <c r="L33" s="26">
        <v>2</v>
      </c>
      <c r="M33" s="11">
        <v>3</v>
      </c>
      <c r="N33" s="11">
        <v>1</v>
      </c>
      <c r="O33" s="11">
        <v>2</v>
      </c>
      <c r="P33" s="11">
        <v>1</v>
      </c>
      <c r="Q33" s="11">
        <v>2</v>
      </c>
      <c r="R33" s="11">
        <v>5</v>
      </c>
      <c r="S33" s="11">
        <v>5</v>
      </c>
      <c r="T33" s="11">
        <v>4</v>
      </c>
      <c r="U33" s="27">
        <v>3</v>
      </c>
      <c r="V33" s="26">
        <v>2</v>
      </c>
      <c r="W33" s="11">
        <v>3</v>
      </c>
      <c r="X33" s="11">
        <v>1</v>
      </c>
      <c r="Y33" s="11">
        <v>1</v>
      </c>
      <c r="Z33" s="11">
        <v>1</v>
      </c>
      <c r="AA33" s="11">
        <v>1</v>
      </c>
      <c r="AB33" s="11">
        <v>5</v>
      </c>
      <c r="AC33" s="11">
        <v>5</v>
      </c>
      <c r="AD33" s="11">
        <v>4</v>
      </c>
      <c r="AE33" s="27">
        <v>3</v>
      </c>
      <c r="AF33" s="26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1">
        <v>0</v>
      </c>
      <c r="AM33" s="11">
        <v>0</v>
      </c>
      <c r="AN33" s="11">
        <v>0</v>
      </c>
      <c r="AO33" s="27">
        <v>0</v>
      </c>
      <c r="AP33" s="26">
        <v>0</v>
      </c>
      <c r="AQ33" s="11">
        <v>0</v>
      </c>
      <c r="AR33" s="11">
        <v>0</v>
      </c>
      <c r="AS33" s="11">
        <v>0</v>
      </c>
      <c r="AT33" s="11">
        <v>0</v>
      </c>
      <c r="AU33" s="11">
        <v>0</v>
      </c>
      <c r="AV33" s="11">
        <v>1</v>
      </c>
      <c r="AW33" s="11">
        <v>1</v>
      </c>
      <c r="AX33" s="11">
        <v>0</v>
      </c>
      <c r="AY33" s="27">
        <v>0</v>
      </c>
      <c r="AZ33" s="26">
        <v>0</v>
      </c>
      <c r="BA33" s="11">
        <v>0</v>
      </c>
      <c r="BB33" s="11">
        <v>0</v>
      </c>
      <c r="BC33" s="11">
        <v>0</v>
      </c>
      <c r="BD33" s="11">
        <v>0</v>
      </c>
      <c r="BE33" s="11">
        <v>0</v>
      </c>
      <c r="BF33" s="11">
        <v>1</v>
      </c>
      <c r="BG33" s="11">
        <v>1</v>
      </c>
      <c r="BH33" s="11">
        <v>1</v>
      </c>
      <c r="BI33" s="27">
        <v>0</v>
      </c>
      <c r="BJ33" s="26">
        <v>0</v>
      </c>
      <c r="BK33" s="11">
        <v>0</v>
      </c>
      <c r="BL33" s="11">
        <v>0</v>
      </c>
      <c r="BM33" s="11">
        <v>0</v>
      </c>
      <c r="BN33" s="11">
        <v>0</v>
      </c>
      <c r="BO33" s="11">
        <v>0</v>
      </c>
      <c r="BP33" s="11">
        <v>0</v>
      </c>
      <c r="BQ33" s="11">
        <v>0</v>
      </c>
      <c r="BR33" s="11">
        <v>0</v>
      </c>
      <c r="BS33" s="27">
        <v>0</v>
      </c>
      <c r="BT33" s="26">
        <v>0</v>
      </c>
      <c r="BU33" s="11">
        <v>0</v>
      </c>
      <c r="BV33" s="11">
        <v>0</v>
      </c>
      <c r="BW33" s="11">
        <v>0</v>
      </c>
      <c r="BX33" s="11">
        <v>0</v>
      </c>
      <c r="BY33" s="11">
        <v>0</v>
      </c>
      <c r="BZ33" s="11">
        <v>1</v>
      </c>
      <c r="CA33" s="11">
        <v>1</v>
      </c>
      <c r="CB33" s="11">
        <v>0</v>
      </c>
      <c r="CC33" s="27">
        <v>0</v>
      </c>
      <c r="CD33" s="26">
        <v>0</v>
      </c>
      <c r="CE33" s="11">
        <v>0</v>
      </c>
      <c r="CF33" s="11">
        <v>0</v>
      </c>
      <c r="CG33" s="11">
        <v>0</v>
      </c>
      <c r="CH33" s="11">
        <v>0</v>
      </c>
      <c r="CI33" s="11">
        <v>0</v>
      </c>
      <c r="CJ33" s="11">
        <v>1</v>
      </c>
      <c r="CK33" s="11">
        <v>1</v>
      </c>
      <c r="CL33" s="11">
        <v>1</v>
      </c>
      <c r="CM33" s="27">
        <v>0</v>
      </c>
    </row>
    <row r="34" spans="1:91" x14ac:dyDescent="0.3">
      <c r="A34" s="44" t="str">
        <v>LxH - Packet Array  W</v>
      </c>
      <c r="B34" s="26">
        <v>13</v>
      </c>
      <c r="C34" s="11">
        <v>8</v>
      </c>
      <c r="D34" s="11">
        <v>10</v>
      </c>
      <c r="E34" s="11">
        <v>16</v>
      </c>
      <c r="F34" s="11">
        <v>3</v>
      </c>
      <c r="G34" s="11">
        <v>9</v>
      </c>
      <c r="H34" s="11">
        <v>20</v>
      </c>
      <c r="I34" s="11">
        <v>20</v>
      </c>
      <c r="J34" s="11">
        <v>14</v>
      </c>
      <c r="K34" s="27">
        <v>14</v>
      </c>
      <c r="L34" s="26">
        <v>14</v>
      </c>
      <c r="M34" s="11">
        <v>8</v>
      </c>
      <c r="N34" s="11">
        <v>11</v>
      </c>
      <c r="O34" s="11">
        <v>16</v>
      </c>
      <c r="P34" s="11">
        <v>4</v>
      </c>
      <c r="Q34" s="11">
        <v>10</v>
      </c>
      <c r="R34" s="11">
        <v>21</v>
      </c>
      <c r="S34" s="11">
        <v>21</v>
      </c>
      <c r="T34" s="11">
        <v>15</v>
      </c>
      <c r="U34" s="27">
        <v>15</v>
      </c>
      <c r="V34" s="26">
        <v>9</v>
      </c>
      <c r="W34" s="11">
        <v>6</v>
      </c>
      <c r="X34" s="11">
        <v>7</v>
      </c>
      <c r="Y34" s="11">
        <v>11</v>
      </c>
      <c r="Z34" s="11">
        <v>2</v>
      </c>
      <c r="AA34" s="11">
        <v>6</v>
      </c>
      <c r="AB34" s="11">
        <v>14</v>
      </c>
      <c r="AC34" s="11">
        <v>14</v>
      </c>
      <c r="AD34" s="11">
        <v>10</v>
      </c>
      <c r="AE34" s="27">
        <v>10</v>
      </c>
      <c r="AF34" s="26">
        <v>6</v>
      </c>
      <c r="AG34" s="11">
        <v>4</v>
      </c>
      <c r="AH34" s="11">
        <v>5</v>
      </c>
      <c r="AI34" s="11">
        <v>8</v>
      </c>
      <c r="AJ34" s="11">
        <v>1</v>
      </c>
      <c r="AK34" s="11">
        <v>4</v>
      </c>
      <c r="AL34" s="11">
        <v>10</v>
      </c>
      <c r="AM34" s="11">
        <v>10</v>
      </c>
      <c r="AN34" s="11">
        <v>7</v>
      </c>
      <c r="AO34" s="27">
        <v>7</v>
      </c>
      <c r="AP34" s="26">
        <v>6</v>
      </c>
      <c r="AQ34" s="11">
        <v>4</v>
      </c>
      <c r="AR34" s="11">
        <v>5</v>
      </c>
      <c r="AS34" s="11">
        <v>8</v>
      </c>
      <c r="AT34" s="11">
        <v>1</v>
      </c>
      <c r="AU34" s="11">
        <v>4</v>
      </c>
      <c r="AV34" s="11">
        <v>10</v>
      </c>
      <c r="AW34" s="11">
        <v>10</v>
      </c>
      <c r="AX34" s="11">
        <v>7</v>
      </c>
      <c r="AY34" s="27">
        <v>7</v>
      </c>
      <c r="AZ34" s="26">
        <v>6</v>
      </c>
      <c r="BA34" s="11">
        <v>4</v>
      </c>
      <c r="BB34" s="11">
        <v>5</v>
      </c>
      <c r="BC34" s="11">
        <v>8</v>
      </c>
      <c r="BD34" s="11">
        <v>1</v>
      </c>
      <c r="BE34" s="11">
        <v>4</v>
      </c>
      <c r="BF34" s="11">
        <v>10</v>
      </c>
      <c r="BG34" s="11">
        <v>10</v>
      </c>
      <c r="BH34" s="11">
        <v>7</v>
      </c>
      <c r="BI34" s="27">
        <v>7</v>
      </c>
      <c r="BJ34" s="26">
        <v>4</v>
      </c>
      <c r="BK34" s="11">
        <v>2</v>
      </c>
      <c r="BL34" s="11">
        <v>3</v>
      </c>
      <c r="BM34" s="11">
        <v>5</v>
      </c>
      <c r="BN34" s="11">
        <v>1</v>
      </c>
      <c r="BO34" s="11">
        <v>3</v>
      </c>
      <c r="BP34" s="11">
        <v>6</v>
      </c>
      <c r="BQ34" s="11">
        <v>6</v>
      </c>
      <c r="BR34" s="11">
        <v>4</v>
      </c>
      <c r="BS34" s="27">
        <v>4</v>
      </c>
      <c r="BT34" s="26">
        <v>4</v>
      </c>
      <c r="BU34" s="11">
        <v>2</v>
      </c>
      <c r="BV34" s="11">
        <v>3</v>
      </c>
      <c r="BW34" s="11">
        <v>5</v>
      </c>
      <c r="BX34" s="11">
        <v>1</v>
      </c>
      <c r="BY34" s="11">
        <v>3</v>
      </c>
      <c r="BZ34" s="11">
        <v>6</v>
      </c>
      <c r="CA34" s="11">
        <v>6</v>
      </c>
      <c r="CB34" s="11">
        <v>4</v>
      </c>
      <c r="CC34" s="27">
        <v>4</v>
      </c>
      <c r="CD34" s="26">
        <v>4</v>
      </c>
      <c r="CE34" s="11">
        <v>2</v>
      </c>
      <c r="CF34" s="11">
        <v>3</v>
      </c>
      <c r="CG34" s="11">
        <v>5</v>
      </c>
      <c r="CH34" s="11">
        <v>1</v>
      </c>
      <c r="CI34" s="11">
        <v>3</v>
      </c>
      <c r="CJ34" s="11">
        <v>6</v>
      </c>
      <c r="CK34" s="11">
        <v>6</v>
      </c>
      <c r="CL34" s="11">
        <v>4</v>
      </c>
      <c r="CM34" s="27">
        <v>4</v>
      </c>
    </row>
    <row r="35" spans="1:91" x14ac:dyDescent="0.3">
      <c r="A35" s="44" t="str">
        <v>LxH - Packet Array  H</v>
      </c>
      <c r="B35" s="26">
        <v>1</v>
      </c>
      <c r="C35" s="11">
        <v>4</v>
      </c>
      <c r="D35" s="11">
        <v>4</v>
      </c>
      <c r="E35" s="11">
        <v>4</v>
      </c>
      <c r="F35" s="11">
        <v>5</v>
      </c>
      <c r="G35" s="11">
        <v>3</v>
      </c>
      <c r="H35" s="11">
        <v>2</v>
      </c>
      <c r="I35" s="11">
        <v>2</v>
      </c>
      <c r="J35" s="11">
        <v>3</v>
      </c>
      <c r="K35" s="27">
        <v>2</v>
      </c>
      <c r="L35" s="26">
        <v>1</v>
      </c>
      <c r="M35" s="11">
        <v>3</v>
      </c>
      <c r="N35" s="11">
        <v>3</v>
      </c>
      <c r="O35" s="11">
        <v>3</v>
      </c>
      <c r="P35" s="11">
        <v>4</v>
      </c>
      <c r="Q35" s="11">
        <v>2</v>
      </c>
      <c r="R35" s="11">
        <v>1</v>
      </c>
      <c r="S35" s="11">
        <v>1</v>
      </c>
      <c r="T35" s="11">
        <v>2</v>
      </c>
      <c r="U35" s="27">
        <v>2</v>
      </c>
      <c r="V35" s="26">
        <v>1</v>
      </c>
      <c r="W35" s="11">
        <v>3</v>
      </c>
      <c r="X35" s="11">
        <v>3</v>
      </c>
      <c r="Y35" s="11">
        <v>3</v>
      </c>
      <c r="Z35" s="11">
        <v>4</v>
      </c>
      <c r="AA35" s="11">
        <v>2</v>
      </c>
      <c r="AB35" s="11">
        <v>1</v>
      </c>
      <c r="AC35" s="11">
        <v>1</v>
      </c>
      <c r="AD35" s="11">
        <v>2</v>
      </c>
      <c r="AE35" s="27">
        <v>2</v>
      </c>
      <c r="AF35" s="26">
        <v>0</v>
      </c>
      <c r="AG35" s="11">
        <v>1</v>
      </c>
      <c r="AH35" s="11">
        <v>1</v>
      </c>
      <c r="AI35" s="11">
        <v>1</v>
      </c>
      <c r="AJ35" s="11">
        <v>2</v>
      </c>
      <c r="AK35" s="11">
        <v>1</v>
      </c>
      <c r="AL35" s="11">
        <v>0</v>
      </c>
      <c r="AM35" s="11">
        <v>0</v>
      </c>
      <c r="AN35" s="11">
        <v>1</v>
      </c>
      <c r="AO35" s="27">
        <v>1</v>
      </c>
      <c r="AP35" s="26">
        <v>0</v>
      </c>
      <c r="AQ35" s="11">
        <v>1</v>
      </c>
      <c r="AR35" s="11">
        <v>1</v>
      </c>
      <c r="AS35" s="11">
        <v>1</v>
      </c>
      <c r="AT35" s="11">
        <v>2</v>
      </c>
      <c r="AU35" s="11">
        <v>1</v>
      </c>
      <c r="AV35" s="11">
        <v>0</v>
      </c>
      <c r="AW35" s="11">
        <v>0</v>
      </c>
      <c r="AX35" s="11">
        <v>1</v>
      </c>
      <c r="AY35" s="27">
        <v>1</v>
      </c>
      <c r="AZ35" s="26">
        <v>0</v>
      </c>
      <c r="BA35" s="11">
        <v>1</v>
      </c>
      <c r="BB35" s="11">
        <v>1</v>
      </c>
      <c r="BC35" s="11">
        <v>1</v>
      </c>
      <c r="BD35" s="11">
        <v>2</v>
      </c>
      <c r="BE35" s="11">
        <v>1</v>
      </c>
      <c r="BF35" s="11">
        <v>0</v>
      </c>
      <c r="BG35" s="11">
        <v>0</v>
      </c>
      <c r="BH35" s="11">
        <v>1</v>
      </c>
      <c r="BI35" s="27">
        <v>1</v>
      </c>
      <c r="BJ35" s="26">
        <v>0</v>
      </c>
      <c r="BK35" s="11">
        <v>1</v>
      </c>
      <c r="BL35" s="11">
        <v>1</v>
      </c>
      <c r="BM35" s="11">
        <v>1</v>
      </c>
      <c r="BN35" s="11">
        <v>1</v>
      </c>
      <c r="BO35" s="11">
        <v>0</v>
      </c>
      <c r="BP35" s="11">
        <v>0</v>
      </c>
      <c r="BQ35" s="11">
        <v>0</v>
      </c>
      <c r="BR35" s="11">
        <v>0</v>
      </c>
      <c r="BS35" s="27">
        <v>0</v>
      </c>
      <c r="BT35" s="26">
        <v>0</v>
      </c>
      <c r="BU35" s="11">
        <v>1</v>
      </c>
      <c r="BV35" s="11">
        <v>1</v>
      </c>
      <c r="BW35" s="11">
        <v>1</v>
      </c>
      <c r="BX35" s="11">
        <v>1</v>
      </c>
      <c r="BY35" s="11">
        <v>0</v>
      </c>
      <c r="BZ35" s="11">
        <v>0</v>
      </c>
      <c r="CA35" s="11">
        <v>0</v>
      </c>
      <c r="CB35" s="11">
        <v>0</v>
      </c>
      <c r="CC35" s="27">
        <v>0</v>
      </c>
      <c r="CD35" s="26">
        <v>0</v>
      </c>
      <c r="CE35" s="11">
        <v>1</v>
      </c>
      <c r="CF35" s="11">
        <v>1</v>
      </c>
      <c r="CG35" s="11">
        <v>1</v>
      </c>
      <c r="CH35" s="11">
        <v>1</v>
      </c>
      <c r="CI35" s="11">
        <v>0</v>
      </c>
      <c r="CJ35" s="11">
        <v>0</v>
      </c>
      <c r="CK35" s="11">
        <v>0</v>
      </c>
      <c r="CL35" s="11">
        <v>0</v>
      </c>
      <c r="CM35" s="27">
        <v>0</v>
      </c>
    </row>
    <row r="36" spans="1:91" x14ac:dyDescent="0.3">
      <c r="A36" s="44" t="str">
        <v>LxH - Parts / Layer</v>
      </c>
      <c r="B36" s="26">
        <v>26</v>
      </c>
      <c r="C36" s="11">
        <v>16</v>
      </c>
      <c r="D36" s="11">
        <v>10</v>
      </c>
      <c r="E36" s="11">
        <v>16</v>
      </c>
      <c r="F36" s="11">
        <v>3</v>
      </c>
      <c r="G36" s="11">
        <v>9</v>
      </c>
      <c r="H36" s="11">
        <v>80</v>
      </c>
      <c r="I36" s="11">
        <v>80</v>
      </c>
      <c r="J36" s="11">
        <v>42</v>
      </c>
      <c r="K36" s="27">
        <v>28</v>
      </c>
      <c r="L36" s="26">
        <v>28</v>
      </c>
      <c r="M36" s="11">
        <v>24</v>
      </c>
      <c r="N36" s="11">
        <v>11</v>
      </c>
      <c r="O36" s="11">
        <v>32</v>
      </c>
      <c r="P36" s="11">
        <v>4</v>
      </c>
      <c r="Q36" s="11">
        <v>20</v>
      </c>
      <c r="R36" s="11">
        <v>105</v>
      </c>
      <c r="S36" s="11">
        <v>105</v>
      </c>
      <c r="T36" s="11">
        <v>60</v>
      </c>
      <c r="U36" s="27">
        <v>45</v>
      </c>
      <c r="V36" s="26">
        <v>18</v>
      </c>
      <c r="W36" s="11">
        <v>18</v>
      </c>
      <c r="X36" s="11">
        <v>7</v>
      </c>
      <c r="Y36" s="11">
        <v>11</v>
      </c>
      <c r="Z36" s="11">
        <v>2</v>
      </c>
      <c r="AA36" s="11">
        <v>6</v>
      </c>
      <c r="AB36" s="11">
        <v>70</v>
      </c>
      <c r="AC36" s="11">
        <v>70</v>
      </c>
      <c r="AD36" s="11">
        <v>40</v>
      </c>
      <c r="AE36" s="27">
        <v>30</v>
      </c>
      <c r="AF36" s="26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27">
        <v>0</v>
      </c>
      <c r="AP36" s="26">
        <v>0</v>
      </c>
      <c r="AQ36" s="11">
        <v>0</v>
      </c>
      <c r="AR36" s="11">
        <v>0</v>
      </c>
      <c r="AS36" s="11">
        <v>0</v>
      </c>
      <c r="AT36" s="11">
        <v>0</v>
      </c>
      <c r="AU36" s="11">
        <v>0</v>
      </c>
      <c r="AV36" s="11">
        <v>10</v>
      </c>
      <c r="AW36" s="11">
        <v>10</v>
      </c>
      <c r="AX36" s="11">
        <v>0</v>
      </c>
      <c r="AY36" s="27">
        <v>0</v>
      </c>
      <c r="AZ36" s="26">
        <v>0</v>
      </c>
      <c r="BA36" s="11">
        <v>0</v>
      </c>
      <c r="BB36" s="11">
        <v>0</v>
      </c>
      <c r="BC36" s="11">
        <v>0</v>
      </c>
      <c r="BD36" s="11">
        <v>0</v>
      </c>
      <c r="BE36" s="11">
        <v>0</v>
      </c>
      <c r="BF36" s="11">
        <v>10</v>
      </c>
      <c r="BG36" s="11">
        <v>10</v>
      </c>
      <c r="BH36" s="11">
        <v>7</v>
      </c>
      <c r="BI36" s="27">
        <v>0</v>
      </c>
      <c r="BJ36" s="26">
        <v>0</v>
      </c>
      <c r="BK36" s="11">
        <v>0</v>
      </c>
      <c r="BL36" s="11">
        <v>0</v>
      </c>
      <c r="BM36" s="11">
        <v>0</v>
      </c>
      <c r="BN36" s="11">
        <v>0</v>
      </c>
      <c r="BO36" s="11">
        <v>0</v>
      </c>
      <c r="BP36" s="11">
        <v>0</v>
      </c>
      <c r="BQ36" s="11">
        <v>0</v>
      </c>
      <c r="BR36" s="11">
        <v>0</v>
      </c>
      <c r="BS36" s="27">
        <v>0</v>
      </c>
      <c r="BT36" s="26">
        <v>0</v>
      </c>
      <c r="BU36" s="11">
        <v>0</v>
      </c>
      <c r="BV36" s="11">
        <v>0</v>
      </c>
      <c r="BW36" s="11">
        <v>0</v>
      </c>
      <c r="BX36" s="11">
        <v>0</v>
      </c>
      <c r="BY36" s="11">
        <v>0</v>
      </c>
      <c r="BZ36" s="11">
        <v>6</v>
      </c>
      <c r="CA36" s="11">
        <v>6</v>
      </c>
      <c r="CB36" s="11">
        <v>0</v>
      </c>
      <c r="CC36" s="27">
        <v>0</v>
      </c>
      <c r="CD36" s="26">
        <v>0</v>
      </c>
      <c r="CE36" s="11">
        <v>0</v>
      </c>
      <c r="CF36" s="11">
        <v>0</v>
      </c>
      <c r="CG36" s="11">
        <v>0</v>
      </c>
      <c r="CH36" s="11">
        <v>0</v>
      </c>
      <c r="CI36" s="11">
        <v>0</v>
      </c>
      <c r="CJ36" s="11">
        <v>6</v>
      </c>
      <c r="CK36" s="11">
        <v>6</v>
      </c>
      <c r="CL36" s="11">
        <v>4</v>
      </c>
      <c r="CM36" s="27">
        <v>0</v>
      </c>
    </row>
    <row r="37" spans="1:91" x14ac:dyDescent="0.3">
      <c r="A37" s="44" t="str">
        <v>LxH - Layers / GLT</v>
      </c>
      <c r="B37" s="26">
        <v>1</v>
      </c>
      <c r="C37" s="11">
        <v>4</v>
      </c>
      <c r="D37" s="11">
        <v>4</v>
      </c>
      <c r="E37" s="11">
        <v>4</v>
      </c>
      <c r="F37" s="11">
        <v>5</v>
      </c>
      <c r="G37" s="11">
        <v>3</v>
      </c>
      <c r="H37" s="11">
        <v>2</v>
      </c>
      <c r="I37" s="11">
        <v>2</v>
      </c>
      <c r="J37" s="11">
        <v>3</v>
      </c>
      <c r="K37" s="27">
        <v>2</v>
      </c>
      <c r="L37" s="26">
        <v>1</v>
      </c>
      <c r="M37" s="11">
        <v>3</v>
      </c>
      <c r="N37" s="11">
        <v>3</v>
      </c>
      <c r="O37" s="11">
        <v>3</v>
      </c>
      <c r="P37" s="11">
        <v>4</v>
      </c>
      <c r="Q37" s="11">
        <v>2</v>
      </c>
      <c r="R37" s="11">
        <v>1</v>
      </c>
      <c r="S37" s="11">
        <v>1</v>
      </c>
      <c r="T37" s="11">
        <v>2</v>
      </c>
      <c r="U37" s="27">
        <v>2</v>
      </c>
      <c r="V37" s="26">
        <v>1</v>
      </c>
      <c r="W37" s="11">
        <v>3</v>
      </c>
      <c r="X37" s="11">
        <v>3</v>
      </c>
      <c r="Y37" s="11">
        <v>3</v>
      </c>
      <c r="Z37" s="11">
        <v>4</v>
      </c>
      <c r="AA37" s="11">
        <v>2</v>
      </c>
      <c r="AB37" s="11">
        <v>1</v>
      </c>
      <c r="AC37" s="11">
        <v>1</v>
      </c>
      <c r="AD37" s="11">
        <v>2</v>
      </c>
      <c r="AE37" s="27">
        <v>2</v>
      </c>
      <c r="AF37" s="26">
        <v>0</v>
      </c>
      <c r="AG37" s="11">
        <v>1</v>
      </c>
      <c r="AH37" s="11">
        <v>1</v>
      </c>
      <c r="AI37" s="11">
        <v>1</v>
      </c>
      <c r="AJ37" s="11">
        <v>2</v>
      </c>
      <c r="AK37" s="11">
        <v>1</v>
      </c>
      <c r="AL37" s="11">
        <v>0</v>
      </c>
      <c r="AM37" s="11">
        <v>0</v>
      </c>
      <c r="AN37" s="11">
        <v>1</v>
      </c>
      <c r="AO37" s="27">
        <v>1</v>
      </c>
      <c r="AP37" s="26">
        <v>0</v>
      </c>
      <c r="AQ37" s="11">
        <v>1</v>
      </c>
      <c r="AR37" s="11">
        <v>1</v>
      </c>
      <c r="AS37" s="11">
        <v>1</v>
      </c>
      <c r="AT37" s="11">
        <v>2</v>
      </c>
      <c r="AU37" s="11">
        <v>1</v>
      </c>
      <c r="AV37" s="11">
        <v>0</v>
      </c>
      <c r="AW37" s="11">
        <v>0</v>
      </c>
      <c r="AX37" s="11">
        <v>1</v>
      </c>
      <c r="AY37" s="27">
        <v>1</v>
      </c>
      <c r="AZ37" s="26">
        <v>0</v>
      </c>
      <c r="BA37" s="11">
        <v>1</v>
      </c>
      <c r="BB37" s="11">
        <v>1</v>
      </c>
      <c r="BC37" s="11">
        <v>1</v>
      </c>
      <c r="BD37" s="11">
        <v>2</v>
      </c>
      <c r="BE37" s="11">
        <v>1</v>
      </c>
      <c r="BF37" s="11">
        <v>0</v>
      </c>
      <c r="BG37" s="11">
        <v>0</v>
      </c>
      <c r="BH37" s="11">
        <v>1</v>
      </c>
      <c r="BI37" s="27">
        <v>1</v>
      </c>
      <c r="BJ37" s="26">
        <v>0</v>
      </c>
      <c r="BK37" s="11">
        <v>1</v>
      </c>
      <c r="BL37" s="11">
        <v>1</v>
      </c>
      <c r="BM37" s="11">
        <v>1</v>
      </c>
      <c r="BN37" s="11">
        <v>1</v>
      </c>
      <c r="BO37" s="11">
        <v>0</v>
      </c>
      <c r="BP37" s="11">
        <v>0</v>
      </c>
      <c r="BQ37" s="11">
        <v>0</v>
      </c>
      <c r="BR37" s="11">
        <v>0</v>
      </c>
      <c r="BS37" s="27">
        <v>0</v>
      </c>
      <c r="BT37" s="26">
        <v>0</v>
      </c>
      <c r="BU37" s="11">
        <v>1</v>
      </c>
      <c r="BV37" s="11">
        <v>1</v>
      </c>
      <c r="BW37" s="11">
        <v>1</v>
      </c>
      <c r="BX37" s="11">
        <v>1</v>
      </c>
      <c r="BY37" s="11">
        <v>0</v>
      </c>
      <c r="BZ37" s="11">
        <v>0</v>
      </c>
      <c r="CA37" s="11">
        <v>0</v>
      </c>
      <c r="CB37" s="11">
        <v>0</v>
      </c>
      <c r="CC37" s="27">
        <v>0</v>
      </c>
      <c r="CD37" s="26">
        <v>0</v>
      </c>
      <c r="CE37" s="11">
        <v>1</v>
      </c>
      <c r="CF37" s="11">
        <v>1</v>
      </c>
      <c r="CG37" s="11">
        <v>1</v>
      </c>
      <c r="CH37" s="11">
        <v>1</v>
      </c>
      <c r="CI37" s="11">
        <v>0</v>
      </c>
      <c r="CJ37" s="11">
        <v>0</v>
      </c>
      <c r="CK37" s="11">
        <v>0</v>
      </c>
      <c r="CL37" s="11">
        <v>0</v>
      </c>
      <c r="CM37" s="27">
        <v>0</v>
      </c>
    </row>
    <row r="38" spans="1:91" x14ac:dyDescent="0.3">
      <c r="A38" s="46" t="str">
        <v>LxH - Parts / GLT</v>
      </c>
      <c r="B38" s="34">
        <v>26</v>
      </c>
      <c r="C38" s="35">
        <v>64</v>
      </c>
      <c r="D38" s="35">
        <v>40</v>
      </c>
      <c r="E38" s="35">
        <v>64</v>
      </c>
      <c r="F38" s="35">
        <v>15</v>
      </c>
      <c r="G38" s="35">
        <v>27</v>
      </c>
      <c r="H38" s="35">
        <v>160</v>
      </c>
      <c r="I38" s="35">
        <v>160</v>
      </c>
      <c r="J38" s="35">
        <v>126</v>
      </c>
      <c r="K38" s="36">
        <v>56</v>
      </c>
      <c r="L38" s="34">
        <v>28</v>
      </c>
      <c r="M38" s="35">
        <v>72</v>
      </c>
      <c r="N38" s="35">
        <v>33</v>
      </c>
      <c r="O38" s="35">
        <v>96</v>
      </c>
      <c r="P38" s="35">
        <v>16</v>
      </c>
      <c r="Q38" s="35">
        <v>40</v>
      </c>
      <c r="R38" s="35">
        <v>105</v>
      </c>
      <c r="S38" s="35">
        <v>105</v>
      </c>
      <c r="T38" s="35">
        <v>120</v>
      </c>
      <c r="U38" s="36">
        <v>90</v>
      </c>
      <c r="V38" s="34">
        <v>18</v>
      </c>
      <c r="W38" s="35">
        <v>54</v>
      </c>
      <c r="X38" s="35">
        <v>21</v>
      </c>
      <c r="Y38" s="35">
        <v>33</v>
      </c>
      <c r="Z38" s="35">
        <v>8</v>
      </c>
      <c r="AA38" s="35">
        <v>12</v>
      </c>
      <c r="AB38" s="35">
        <v>70</v>
      </c>
      <c r="AC38" s="35">
        <v>70</v>
      </c>
      <c r="AD38" s="35">
        <v>80</v>
      </c>
      <c r="AE38" s="36">
        <v>60</v>
      </c>
      <c r="AF38" s="34">
        <v>0</v>
      </c>
      <c r="AG38" s="35">
        <v>0</v>
      </c>
      <c r="AH38" s="35">
        <v>0</v>
      </c>
      <c r="AI38" s="35">
        <v>0</v>
      </c>
      <c r="AJ38" s="35">
        <v>0</v>
      </c>
      <c r="AK38" s="35">
        <v>0</v>
      </c>
      <c r="AL38" s="35">
        <v>0</v>
      </c>
      <c r="AM38" s="35">
        <v>0</v>
      </c>
      <c r="AN38" s="35">
        <v>0</v>
      </c>
      <c r="AO38" s="36">
        <v>0</v>
      </c>
      <c r="AP38" s="34">
        <v>0</v>
      </c>
      <c r="AQ38" s="35">
        <v>0</v>
      </c>
      <c r="AR38" s="35">
        <v>0</v>
      </c>
      <c r="AS38" s="35">
        <v>0</v>
      </c>
      <c r="AT38" s="35">
        <v>0</v>
      </c>
      <c r="AU38" s="35">
        <v>0</v>
      </c>
      <c r="AV38" s="35">
        <v>0</v>
      </c>
      <c r="AW38" s="35">
        <v>0</v>
      </c>
      <c r="AX38" s="35">
        <v>0</v>
      </c>
      <c r="AY38" s="36">
        <v>0</v>
      </c>
      <c r="AZ38" s="34">
        <v>0</v>
      </c>
      <c r="BA38" s="35">
        <v>0</v>
      </c>
      <c r="BB38" s="35">
        <v>0</v>
      </c>
      <c r="BC38" s="35">
        <v>0</v>
      </c>
      <c r="BD38" s="35">
        <v>0</v>
      </c>
      <c r="BE38" s="35">
        <v>0</v>
      </c>
      <c r="BF38" s="35">
        <v>0</v>
      </c>
      <c r="BG38" s="35">
        <v>0</v>
      </c>
      <c r="BH38" s="35">
        <v>7</v>
      </c>
      <c r="BI38" s="36">
        <v>0</v>
      </c>
      <c r="BJ38" s="34">
        <v>0</v>
      </c>
      <c r="BK38" s="35">
        <v>0</v>
      </c>
      <c r="BL38" s="35">
        <v>0</v>
      </c>
      <c r="BM38" s="35">
        <v>0</v>
      </c>
      <c r="BN38" s="35">
        <v>0</v>
      </c>
      <c r="BO38" s="35">
        <v>0</v>
      </c>
      <c r="BP38" s="35">
        <v>0</v>
      </c>
      <c r="BQ38" s="35">
        <v>0</v>
      </c>
      <c r="BR38" s="35">
        <v>0</v>
      </c>
      <c r="BS38" s="36">
        <v>0</v>
      </c>
      <c r="BT38" s="34">
        <v>0</v>
      </c>
      <c r="BU38" s="35">
        <v>0</v>
      </c>
      <c r="BV38" s="35">
        <v>0</v>
      </c>
      <c r="BW38" s="35">
        <v>0</v>
      </c>
      <c r="BX38" s="35">
        <v>0</v>
      </c>
      <c r="BY38" s="35">
        <v>0</v>
      </c>
      <c r="BZ38" s="35">
        <v>0</v>
      </c>
      <c r="CA38" s="35">
        <v>0</v>
      </c>
      <c r="CB38" s="35">
        <v>0</v>
      </c>
      <c r="CC38" s="36">
        <v>0</v>
      </c>
      <c r="CD38" s="34">
        <v>0</v>
      </c>
      <c r="CE38" s="35">
        <v>0</v>
      </c>
      <c r="CF38" s="35">
        <v>0</v>
      </c>
      <c r="CG38" s="35">
        <v>0</v>
      </c>
      <c r="CH38" s="35">
        <v>0</v>
      </c>
      <c r="CI38" s="35">
        <v>0</v>
      </c>
      <c r="CJ38" s="35">
        <v>0</v>
      </c>
      <c r="CK38" s="35">
        <v>0</v>
      </c>
      <c r="CL38" s="35">
        <v>0</v>
      </c>
      <c r="CM38" s="36">
        <v>0</v>
      </c>
    </row>
    <row r="39" spans="1:91" x14ac:dyDescent="0.3">
      <c r="A39" s="44" t="str">
        <v>WXW - GLT Size ID(mm)</v>
      </c>
      <c r="B39" s="26">
        <v>640</v>
      </c>
      <c r="C39" s="11">
        <v>640</v>
      </c>
      <c r="D39" s="11">
        <v>640</v>
      </c>
      <c r="E39" s="11">
        <v>640</v>
      </c>
      <c r="F39" s="11">
        <v>640</v>
      </c>
      <c r="G39" s="11">
        <v>640</v>
      </c>
      <c r="H39" s="11">
        <v>640</v>
      </c>
      <c r="I39" s="11">
        <v>640</v>
      </c>
      <c r="J39" s="11">
        <v>640</v>
      </c>
      <c r="K39" s="27">
        <v>640</v>
      </c>
      <c r="L39" s="26">
        <v>780</v>
      </c>
      <c r="M39" s="11">
        <v>780</v>
      </c>
      <c r="N39" s="11">
        <v>780</v>
      </c>
      <c r="O39" s="11">
        <v>780</v>
      </c>
      <c r="P39" s="11">
        <v>780</v>
      </c>
      <c r="Q39" s="11">
        <v>780</v>
      </c>
      <c r="R39" s="11">
        <v>780</v>
      </c>
      <c r="S39" s="11">
        <v>780</v>
      </c>
      <c r="T39" s="11">
        <v>780</v>
      </c>
      <c r="U39" s="27">
        <v>780</v>
      </c>
      <c r="V39" s="26">
        <v>720</v>
      </c>
      <c r="W39" s="11">
        <v>720</v>
      </c>
      <c r="X39" s="11">
        <v>720</v>
      </c>
      <c r="Y39" s="11">
        <v>720</v>
      </c>
      <c r="Z39" s="11">
        <v>720</v>
      </c>
      <c r="AA39" s="11">
        <v>720</v>
      </c>
      <c r="AB39" s="11">
        <v>720</v>
      </c>
      <c r="AC39" s="11">
        <v>720</v>
      </c>
      <c r="AD39" s="11">
        <v>720</v>
      </c>
      <c r="AE39" s="27">
        <v>720</v>
      </c>
      <c r="AF39" s="26">
        <v>105</v>
      </c>
      <c r="AG39" s="11">
        <v>105</v>
      </c>
      <c r="AH39" s="11">
        <v>105</v>
      </c>
      <c r="AI39" s="11">
        <v>105</v>
      </c>
      <c r="AJ39" s="11">
        <v>105</v>
      </c>
      <c r="AK39" s="11">
        <v>105</v>
      </c>
      <c r="AL39" s="11">
        <v>105</v>
      </c>
      <c r="AM39" s="11">
        <v>105</v>
      </c>
      <c r="AN39" s="11">
        <v>105</v>
      </c>
      <c r="AO39" s="27">
        <v>105</v>
      </c>
      <c r="AP39" s="26">
        <v>155</v>
      </c>
      <c r="AQ39" s="11">
        <v>155</v>
      </c>
      <c r="AR39" s="11">
        <v>155</v>
      </c>
      <c r="AS39" s="11">
        <v>155</v>
      </c>
      <c r="AT39" s="11">
        <v>155</v>
      </c>
      <c r="AU39" s="11">
        <v>155</v>
      </c>
      <c r="AV39" s="11">
        <v>155</v>
      </c>
      <c r="AW39" s="11">
        <v>155</v>
      </c>
      <c r="AX39" s="11">
        <v>155</v>
      </c>
      <c r="AY39" s="27">
        <v>155</v>
      </c>
      <c r="AZ39" s="26">
        <v>205</v>
      </c>
      <c r="BA39" s="11">
        <v>205</v>
      </c>
      <c r="BB39" s="11">
        <v>205</v>
      </c>
      <c r="BC39" s="11">
        <v>205</v>
      </c>
      <c r="BD39" s="11">
        <v>205</v>
      </c>
      <c r="BE39" s="11">
        <v>205</v>
      </c>
      <c r="BF39" s="11">
        <v>205</v>
      </c>
      <c r="BG39" s="11">
        <v>205</v>
      </c>
      <c r="BH39" s="11">
        <v>205</v>
      </c>
      <c r="BI39" s="27">
        <v>205</v>
      </c>
      <c r="BJ39" s="26">
        <v>105</v>
      </c>
      <c r="BK39" s="11">
        <v>105</v>
      </c>
      <c r="BL39" s="11">
        <v>105</v>
      </c>
      <c r="BM39" s="11">
        <v>105</v>
      </c>
      <c r="BN39" s="11">
        <v>105</v>
      </c>
      <c r="BO39" s="11">
        <v>105</v>
      </c>
      <c r="BP39" s="11">
        <v>105</v>
      </c>
      <c r="BQ39" s="11">
        <v>105</v>
      </c>
      <c r="BR39" s="11">
        <v>105</v>
      </c>
      <c r="BS39" s="27">
        <v>105</v>
      </c>
      <c r="BT39" s="26">
        <v>155</v>
      </c>
      <c r="BU39" s="11">
        <v>155</v>
      </c>
      <c r="BV39" s="11">
        <v>155</v>
      </c>
      <c r="BW39" s="11">
        <v>155</v>
      </c>
      <c r="BX39" s="11">
        <v>155</v>
      </c>
      <c r="BY39" s="11">
        <v>155</v>
      </c>
      <c r="BZ39" s="11">
        <v>155</v>
      </c>
      <c r="CA39" s="11">
        <v>155</v>
      </c>
      <c r="CB39" s="11">
        <v>155</v>
      </c>
      <c r="CC39" s="27">
        <v>155</v>
      </c>
      <c r="CD39" s="26">
        <v>205</v>
      </c>
      <c r="CE39" s="11">
        <v>205</v>
      </c>
      <c r="CF39" s="11">
        <v>205</v>
      </c>
      <c r="CG39" s="11">
        <v>205</v>
      </c>
      <c r="CH39" s="11">
        <v>205</v>
      </c>
      <c r="CI39" s="11">
        <v>205</v>
      </c>
      <c r="CJ39" s="11">
        <v>205</v>
      </c>
      <c r="CK39" s="11">
        <v>205</v>
      </c>
      <c r="CL39" s="11">
        <v>205</v>
      </c>
      <c r="CM39" s="27">
        <v>205</v>
      </c>
    </row>
    <row r="40" spans="1:91" x14ac:dyDescent="0.3">
      <c r="A40" s="44" t="str">
        <v>WXW - GLT Size ID(mm)</v>
      </c>
      <c r="B40" s="26">
        <v>920</v>
      </c>
      <c r="C40" s="11">
        <v>920</v>
      </c>
      <c r="D40" s="11">
        <v>920</v>
      </c>
      <c r="E40" s="11">
        <v>920</v>
      </c>
      <c r="F40" s="11">
        <v>920</v>
      </c>
      <c r="G40" s="11">
        <v>920</v>
      </c>
      <c r="H40" s="11">
        <v>920</v>
      </c>
      <c r="I40" s="11">
        <v>920</v>
      </c>
      <c r="J40" s="11">
        <v>920</v>
      </c>
      <c r="K40" s="27">
        <v>920</v>
      </c>
      <c r="L40" s="26">
        <v>755</v>
      </c>
      <c r="M40" s="11">
        <v>755</v>
      </c>
      <c r="N40" s="11">
        <v>755</v>
      </c>
      <c r="O40" s="11">
        <v>755</v>
      </c>
      <c r="P40" s="11">
        <v>755</v>
      </c>
      <c r="Q40" s="11">
        <v>755</v>
      </c>
      <c r="R40" s="11">
        <v>755</v>
      </c>
      <c r="S40" s="11">
        <v>755</v>
      </c>
      <c r="T40" s="11">
        <v>755</v>
      </c>
      <c r="U40" s="27">
        <v>755</v>
      </c>
      <c r="V40" s="26">
        <v>730</v>
      </c>
      <c r="W40" s="11">
        <v>730</v>
      </c>
      <c r="X40" s="11">
        <v>730</v>
      </c>
      <c r="Y40" s="11">
        <v>730</v>
      </c>
      <c r="Z40" s="11">
        <v>730</v>
      </c>
      <c r="AA40" s="11">
        <v>730</v>
      </c>
      <c r="AB40" s="11">
        <v>730</v>
      </c>
      <c r="AC40" s="11">
        <v>730</v>
      </c>
      <c r="AD40" s="11">
        <v>730</v>
      </c>
      <c r="AE40" s="27">
        <v>730</v>
      </c>
      <c r="AF40" s="26">
        <v>360</v>
      </c>
      <c r="AG40" s="11">
        <v>360</v>
      </c>
      <c r="AH40" s="11">
        <v>360</v>
      </c>
      <c r="AI40" s="11">
        <v>360</v>
      </c>
      <c r="AJ40" s="11">
        <v>360</v>
      </c>
      <c r="AK40" s="11">
        <v>360</v>
      </c>
      <c r="AL40" s="11">
        <v>360</v>
      </c>
      <c r="AM40" s="11">
        <v>360</v>
      </c>
      <c r="AN40" s="11">
        <v>360</v>
      </c>
      <c r="AO40" s="27">
        <v>360</v>
      </c>
      <c r="AP40" s="26">
        <v>360</v>
      </c>
      <c r="AQ40" s="11">
        <v>360</v>
      </c>
      <c r="AR40" s="11">
        <v>360</v>
      </c>
      <c r="AS40" s="11">
        <v>360</v>
      </c>
      <c r="AT40" s="11">
        <v>360</v>
      </c>
      <c r="AU40" s="11">
        <v>360</v>
      </c>
      <c r="AV40" s="11">
        <v>360</v>
      </c>
      <c r="AW40" s="11">
        <v>360</v>
      </c>
      <c r="AX40" s="11">
        <v>360</v>
      </c>
      <c r="AY40" s="27">
        <v>360</v>
      </c>
      <c r="AZ40" s="26">
        <v>360</v>
      </c>
      <c r="BA40" s="11">
        <v>360</v>
      </c>
      <c r="BB40" s="11">
        <v>360</v>
      </c>
      <c r="BC40" s="11">
        <v>360</v>
      </c>
      <c r="BD40" s="11">
        <v>360</v>
      </c>
      <c r="BE40" s="11">
        <v>360</v>
      </c>
      <c r="BF40" s="11">
        <v>360</v>
      </c>
      <c r="BG40" s="11">
        <v>360</v>
      </c>
      <c r="BH40" s="11">
        <v>360</v>
      </c>
      <c r="BI40" s="27">
        <v>360</v>
      </c>
      <c r="BJ40" s="26">
        <v>260</v>
      </c>
      <c r="BK40" s="11">
        <v>260</v>
      </c>
      <c r="BL40" s="11">
        <v>260</v>
      </c>
      <c r="BM40" s="11">
        <v>260</v>
      </c>
      <c r="BN40" s="11">
        <v>260</v>
      </c>
      <c r="BO40" s="11">
        <v>260</v>
      </c>
      <c r="BP40" s="11">
        <v>260</v>
      </c>
      <c r="BQ40" s="11">
        <v>260</v>
      </c>
      <c r="BR40" s="11">
        <v>260</v>
      </c>
      <c r="BS40" s="27">
        <v>260</v>
      </c>
      <c r="BT40" s="26">
        <v>260</v>
      </c>
      <c r="BU40" s="11">
        <v>260</v>
      </c>
      <c r="BV40" s="11">
        <v>260</v>
      </c>
      <c r="BW40" s="11">
        <v>260</v>
      </c>
      <c r="BX40" s="11">
        <v>260</v>
      </c>
      <c r="BY40" s="11">
        <v>260</v>
      </c>
      <c r="BZ40" s="11">
        <v>260</v>
      </c>
      <c r="CA40" s="11">
        <v>260</v>
      </c>
      <c r="CB40" s="11">
        <v>260</v>
      </c>
      <c r="CC40" s="27">
        <v>260</v>
      </c>
      <c r="CD40" s="26">
        <v>260</v>
      </c>
      <c r="CE40" s="11">
        <v>260</v>
      </c>
      <c r="CF40" s="11">
        <v>260</v>
      </c>
      <c r="CG40" s="11">
        <v>260</v>
      </c>
      <c r="CH40" s="11">
        <v>260</v>
      </c>
      <c r="CI40" s="11">
        <v>260</v>
      </c>
      <c r="CJ40" s="11">
        <v>260</v>
      </c>
      <c r="CK40" s="11">
        <v>260</v>
      </c>
      <c r="CL40" s="11">
        <v>260</v>
      </c>
      <c r="CM40" s="27">
        <v>260</v>
      </c>
    </row>
    <row r="41" spans="1:91" x14ac:dyDescent="0.3">
      <c r="A41" s="44" t="str">
        <v>WXW - GLT Size ID(mm)</v>
      </c>
      <c r="B41" s="26">
        <v>1120</v>
      </c>
      <c r="C41" s="11">
        <v>1120</v>
      </c>
      <c r="D41" s="11">
        <v>1120</v>
      </c>
      <c r="E41" s="11">
        <v>1120</v>
      </c>
      <c r="F41" s="11">
        <v>1120</v>
      </c>
      <c r="G41" s="11">
        <v>1120</v>
      </c>
      <c r="H41" s="11">
        <v>1120</v>
      </c>
      <c r="I41" s="11">
        <v>1120</v>
      </c>
      <c r="J41" s="11">
        <v>1120</v>
      </c>
      <c r="K41" s="27">
        <v>1120</v>
      </c>
      <c r="L41" s="26">
        <v>1155</v>
      </c>
      <c r="M41" s="11">
        <v>1155</v>
      </c>
      <c r="N41" s="11">
        <v>1155</v>
      </c>
      <c r="O41" s="11">
        <v>1155</v>
      </c>
      <c r="P41" s="11">
        <v>1155</v>
      </c>
      <c r="Q41" s="11">
        <v>1155</v>
      </c>
      <c r="R41" s="11">
        <v>1155</v>
      </c>
      <c r="S41" s="11">
        <v>1155</v>
      </c>
      <c r="T41" s="11">
        <v>1155</v>
      </c>
      <c r="U41" s="27">
        <v>1155</v>
      </c>
      <c r="V41" s="26">
        <v>780</v>
      </c>
      <c r="W41" s="11">
        <v>780</v>
      </c>
      <c r="X41" s="11">
        <v>780</v>
      </c>
      <c r="Y41" s="11">
        <v>780</v>
      </c>
      <c r="Z41" s="11">
        <v>780</v>
      </c>
      <c r="AA41" s="11">
        <v>780</v>
      </c>
      <c r="AB41" s="11">
        <v>780</v>
      </c>
      <c r="AC41" s="11">
        <v>780</v>
      </c>
      <c r="AD41" s="11">
        <v>780</v>
      </c>
      <c r="AE41" s="27">
        <v>780</v>
      </c>
      <c r="AF41" s="26">
        <v>560</v>
      </c>
      <c r="AG41" s="11">
        <v>560</v>
      </c>
      <c r="AH41" s="11">
        <v>560</v>
      </c>
      <c r="AI41" s="11">
        <v>560</v>
      </c>
      <c r="AJ41" s="11">
        <v>560</v>
      </c>
      <c r="AK41" s="11">
        <v>560</v>
      </c>
      <c r="AL41" s="11">
        <v>560</v>
      </c>
      <c r="AM41" s="11">
        <v>560</v>
      </c>
      <c r="AN41" s="11">
        <v>560</v>
      </c>
      <c r="AO41" s="27">
        <v>560</v>
      </c>
      <c r="AP41" s="26">
        <v>560</v>
      </c>
      <c r="AQ41" s="11">
        <v>560</v>
      </c>
      <c r="AR41" s="11">
        <v>560</v>
      </c>
      <c r="AS41" s="11">
        <v>560</v>
      </c>
      <c r="AT41" s="11">
        <v>560</v>
      </c>
      <c r="AU41" s="11">
        <v>560</v>
      </c>
      <c r="AV41" s="11">
        <v>560</v>
      </c>
      <c r="AW41" s="11">
        <v>560</v>
      </c>
      <c r="AX41" s="11">
        <v>560</v>
      </c>
      <c r="AY41" s="27">
        <v>560</v>
      </c>
      <c r="AZ41" s="26">
        <v>560</v>
      </c>
      <c r="BA41" s="11">
        <v>560</v>
      </c>
      <c r="BB41" s="11">
        <v>560</v>
      </c>
      <c r="BC41" s="11">
        <v>560</v>
      </c>
      <c r="BD41" s="11">
        <v>560</v>
      </c>
      <c r="BE41" s="11">
        <v>560</v>
      </c>
      <c r="BF41" s="11">
        <v>560</v>
      </c>
      <c r="BG41" s="11">
        <v>560</v>
      </c>
      <c r="BH41" s="11">
        <v>560</v>
      </c>
      <c r="BI41" s="27">
        <v>560</v>
      </c>
      <c r="BJ41" s="26">
        <v>360</v>
      </c>
      <c r="BK41" s="11">
        <v>360</v>
      </c>
      <c r="BL41" s="11">
        <v>360</v>
      </c>
      <c r="BM41" s="11">
        <v>360</v>
      </c>
      <c r="BN41" s="11">
        <v>360</v>
      </c>
      <c r="BO41" s="11">
        <v>360</v>
      </c>
      <c r="BP41" s="11">
        <v>360</v>
      </c>
      <c r="BQ41" s="11">
        <v>360</v>
      </c>
      <c r="BR41" s="11">
        <v>360</v>
      </c>
      <c r="BS41" s="27">
        <v>360</v>
      </c>
      <c r="BT41" s="26">
        <v>360</v>
      </c>
      <c r="BU41" s="11">
        <v>360</v>
      </c>
      <c r="BV41" s="11">
        <v>360</v>
      </c>
      <c r="BW41" s="11">
        <v>360</v>
      </c>
      <c r="BX41" s="11">
        <v>360</v>
      </c>
      <c r="BY41" s="11">
        <v>360</v>
      </c>
      <c r="BZ41" s="11">
        <v>360</v>
      </c>
      <c r="CA41" s="11">
        <v>360</v>
      </c>
      <c r="CB41" s="11">
        <v>360</v>
      </c>
      <c r="CC41" s="27">
        <v>360</v>
      </c>
      <c r="CD41" s="26">
        <v>360</v>
      </c>
      <c r="CE41" s="11">
        <v>360</v>
      </c>
      <c r="CF41" s="11">
        <v>360</v>
      </c>
      <c r="CG41" s="11">
        <v>360</v>
      </c>
      <c r="CH41" s="11">
        <v>360</v>
      </c>
      <c r="CI41" s="11">
        <v>360</v>
      </c>
      <c r="CJ41" s="11">
        <v>360</v>
      </c>
      <c r="CK41" s="11">
        <v>360</v>
      </c>
      <c r="CL41" s="11">
        <v>360</v>
      </c>
      <c r="CM41" s="27">
        <v>360</v>
      </c>
    </row>
    <row r="42" spans="1:91" x14ac:dyDescent="0.3">
      <c r="A42" s="44" t="str">
        <v>WXW - Packet Array  L</v>
      </c>
      <c r="B42" s="26">
        <v>2</v>
      </c>
      <c r="C42" s="11">
        <v>2</v>
      </c>
      <c r="D42" s="11">
        <v>1</v>
      </c>
      <c r="E42" s="11">
        <v>1</v>
      </c>
      <c r="F42" s="11">
        <v>1</v>
      </c>
      <c r="G42" s="11">
        <v>1</v>
      </c>
      <c r="H42" s="11">
        <v>4</v>
      </c>
      <c r="I42" s="11">
        <v>4</v>
      </c>
      <c r="J42" s="11">
        <v>3</v>
      </c>
      <c r="K42" s="27">
        <v>2</v>
      </c>
      <c r="L42" s="26">
        <v>2</v>
      </c>
      <c r="M42" s="11">
        <v>3</v>
      </c>
      <c r="N42" s="11">
        <v>1</v>
      </c>
      <c r="O42" s="11">
        <v>2</v>
      </c>
      <c r="P42" s="11">
        <v>1</v>
      </c>
      <c r="Q42" s="11">
        <v>2</v>
      </c>
      <c r="R42" s="11">
        <v>5</v>
      </c>
      <c r="S42" s="11">
        <v>5</v>
      </c>
      <c r="T42" s="11">
        <v>4</v>
      </c>
      <c r="U42" s="27">
        <v>3</v>
      </c>
      <c r="V42" s="26">
        <v>2</v>
      </c>
      <c r="W42" s="11">
        <v>3</v>
      </c>
      <c r="X42" s="11">
        <v>1</v>
      </c>
      <c r="Y42" s="11">
        <v>1</v>
      </c>
      <c r="Z42" s="11">
        <v>1</v>
      </c>
      <c r="AA42" s="11">
        <v>1</v>
      </c>
      <c r="AB42" s="11">
        <v>5</v>
      </c>
      <c r="AC42" s="11">
        <v>5</v>
      </c>
      <c r="AD42" s="11">
        <v>4</v>
      </c>
      <c r="AE42" s="27">
        <v>3</v>
      </c>
      <c r="AF42" s="26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27">
        <v>0</v>
      </c>
      <c r="AP42" s="26">
        <v>0</v>
      </c>
      <c r="AQ42" s="11">
        <v>0</v>
      </c>
      <c r="AR42" s="11">
        <v>0</v>
      </c>
      <c r="AS42" s="11">
        <v>0</v>
      </c>
      <c r="AT42" s="11">
        <v>0</v>
      </c>
      <c r="AU42" s="11">
        <v>0</v>
      </c>
      <c r="AV42" s="11">
        <v>1</v>
      </c>
      <c r="AW42" s="11">
        <v>1</v>
      </c>
      <c r="AX42" s="11">
        <v>0</v>
      </c>
      <c r="AY42" s="27">
        <v>0</v>
      </c>
      <c r="AZ42" s="26">
        <v>0</v>
      </c>
      <c r="BA42" s="11">
        <v>0</v>
      </c>
      <c r="BB42" s="11">
        <v>0</v>
      </c>
      <c r="BC42" s="11">
        <v>0</v>
      </c>
      <c r="BD42" s="11">
        <v>0</v>
      </c>
      <c r="BE42" s="11">
        <v>0</v>
      </c>
      <c r="BF42" s="11">
        <v>1</v>
      </c>
      <c r="BG42" s="11">
        <v>1</v>
      </c>
      <c r="BH42" s="11">
        <v>1</v>
      </c>
      <c r="BI42" s="27">
        <v>0</v>
      </c>
      <c r="BJ42" s="26">
        <v>0</v>
      </c>
      <c r="BK42" s="11">
        <v>0</v>
      </c>
      <c r="BL42" s="11">
        <v>0</v>
      </c>
      <c r="BM42" s="11">
        <v>0</v>
      </c>
      <c r="BN42" s="11">
        <v>0</v>
      </c>
      <c r="BO42" s="11">
        <v>0</v>
      </c>
      <c r="BP42" s="11">
        <v>0</v>
      </c>
      <c r="BQ42" s="11">
        <v>0</v>
      </c>
      <c r="BR42" s="11">
        <v>0</v>
      </c>
      <c r="BS42" s="27">
        <v>0</v>
      </c>
      <c r="BT42" s="26">
        <v>0</v>
      </c>
      <c r="BU42" s="11">
        <v>0</v>
      </c>
      <c r="BV42" s="11">
        <v>0</v>
      </c>
      <c r="BW42" s="11">
        <v>0</v>
      </c>
      <c r="BX42" s="11">
        <v>0</v>
      </c>
      <c r="BY42" s="11">
        <v>0</v>
      </c>
      <c r="BZ42" s="11">
        <v>1</v>
      </c>
      <c r="CA42" s="11">
        <v>1</v>
      </c>
      <c r="CB42" s="11">
        <v>0</v>
      </c>
      <c r="CC42" s="27">
        <v>0</v>
      </c>
      <c r="CD42" s="26">
        <v>0</v>
      </c>
      <c r="CE42" s="11">
        <v>0</v>
      </c>
      <c r="CF42" s="11">
        <v>0</v>
      </c>
      <c r="CG42" s="11">
        <v>0</v>
      </c>
      <c r="CH42" s="11">
        <v>0</v>
      </c>
      <c r="CI42" s="11">
        <v>0</v>
      </c>
      <c r="CJ42" s="11">
        <v>1</v>
      </c>
      <c r="CK42" s="11">
        <v>1</v>
      </c>
      <c r="CL42" s="11">
        <v>1</v>
      </c>
      <c r="CM42" s="27">
        <v>0</v>
      </c>
    </row>
    <row r="43" spans="1:91" x14ac:dyDescent="0.3">
      <c r="A43" s="44" t="str">
        <v>WXW - Packet Array  W</v>
      </c>
      <c r="B43" s="26">
        <v>11</v>
      </c>
      <c r="C43" s="11">
        <v>7</v>
      </c>
      <c r="D43" s="11">
        <v>8</v>
      </c>
      <c r="E43" s="11">
        <v>13</v>
      </c>
      <c r="F43" s="11">
        <v>3</v>
      </c>
      <c r="G43" s="11">
        <v>8</v>
      </c>
      <c r="H43" s="11">
        <v>16</v>
      </c>
      <c r="I43" s="11">
        <v>16</v>
      </c>
      <c r="J43" s="11">
        <v>12</v>
      </c>
      <c r="K43" s="27">
        <v>12</v>
      </c>
      <c r="L43" s="26">
        <v>9</v>
      </c>
      <c r="M43" s="11">
        <v>5</v>
      </c>
      <c r="N43" s="11">
        <v>7</v>
      </c>
      <c r="O43" s="11">
        <v>11</v>
      </c>
      <c r="P43" s="11">
        <v>2</v>
      </c>
      <c r="Q43" s="11">
        <v>6</v>
      </c>
      <c r="R43" s="11">
        <v>13</v>
      </c>
      <c r="S43" s="11">
        <v>13</v>
      </c>
      <c r="T43" s="11">
        <v>10</v>
      </c>
      <c r="U43" s="27">
        <v>10</v>
      </c>
      <c r="V43" s="26">
        <v>9</v>
      </c>
      <c r="W43" s="11">
        <v>5</v>
      </c>
      <c r="X43" s="11">
        <v>6</v>
      </c>
      <c r="Y43" s="11">
        <v>10</v>
      </c>
      <c r="Z43" s="11">
        <v>2</v>
      </c>
      <c r="AA43" s="11">
        <v>6</v>
      </c>
      <c r="AB43" s="11">
        <v>13</v>
      </c>
      <c r="AC43" s="11">
        <v>13</v>
      </c>
      <c r="AD43" s="11">
        <v>9</v>
      </c>
      <c r="AE43" s="27">
        <v>9</v>
      </c>
      <c r="AF43" s="26">
        <v>4</v>
      </c>
      <c r="AG43" s="11">
        <v>2</v>
      </c>
      <c r="AH43" s="11">
        <v>3</v>
      </c>
      <c r="AI43" s="11">
        <v>5</v>
      </c>
      <c r="AJ43" s="11">
        <v>1</v>
      </c>
      <c r="AK43" s="11">
        <v>3</v>
      </c>
      <c r="AL43" s="11">
        <v>6</v>
      </c>
      <c r="AM43" s="11">
        <v>6</v>
      </c>
      <c r="AN43" s="11">
        <v>4</v>
      </c>
      <c r="AO43" s="27">
        <v>4</v>
      </c>
      <c r="AP43" s="26">
        <v>4</v>
      </c>
      <c r="AQ43" s="11">
        <v>2</v>
      </c>
      <c r="AR43" s="11">
        <v>3</v>
      </c>
      <c r="AS43" s="11">
        <v>5</v>
      </c>
      <c r="AT43" s="11">
        <v>1</v>
      </c>
      <c r="AU43" s="11">
        <v>3</v>
      </c>
      <c r="AV43" s="11">
        <v>6</v>
      </c>
      <c r="AW43" s="11">
        <v>6</v>
      </c>
      <c r="AX43" s="11">
        <v>4</v>
      </c>
      <c r="AY43" s="27">
        <v>4</v>
      </c>
      <c r="AZ43" s="26">
        <v>4</v>
      </c>
      <c r="BA43" s="11">
        <v>2</v>
      </c>
      <c r="BB43" s="11">
        <v>3</v>
      </c>
      <c r="BC43" s="11">
        <v>5</v>
      </c>
      <c r="BD43" s="11">
        <v>1</v>
      </c>
      <c r="BE43" s="11">
        <v>3</v>
      </c>
      <c r="BF43" s="11">
        <v>6</v>
      </c>
      <c r="BG43" s="11">
        <v>6</v>
      </c>
      <c r="BH43" s="11">
        <v>4</v>
      </c>
      <c r="BI43" s="27">
        <v>4</v>
      </c>
      <c r="BJ43" s="26">
        <v>3</v>
      </c>
      <c r="BK43" s="11">
        <v>2</v>
      </c>
      <c r="BL43" s="11">
        <v>2</v>
      </c>
      <c r="BM43" s="11">
        <v>3</v>
      </c>
      <c r="BN43" s="11">
        <v>0</v>
      </c>
      <c r="BO43" s="11">
        <v>2</v>
      </c>
      <c r="BP43" s="11">
        <v>4</v>
      </c>
      <c r="BQ43" s="11">
        <v>4</v>
      </c>
      <c r="BR43" s="11">
        <v>3</v>
      </c>
      <c r="BS43" s="27">
        <v>3</v>
      </c>
      <c r="BT43" s="26">
        <v>3</v>
      </c>
      <c r="BU43" s="11">
        <v>2</v>
      </c>
      <c r="BV43" s="11">
        <v>2</v>
      </c>
      <c r="BW43" s="11">
        <v>3</v>
      </c>
      <c r="BX43" s="11">
        <v>0</v>
      </c>
      <c r="BY43" s="11">
        <v>2</v>
      </c>
      <c r="BZ43" s="11">
        <v>4</v>
      </c>
      <c r="CA43" s="11">
        <v>4</v>
      </c>
      <c r="CB43" s="11">
        <v>3</v>
      </c>
      <c r="CC43" s="27">
        <v>3</v>
      </c>
      <c r="CD43" s="26">
        <v>3</v>
      </c>
      <c r="CE43" s="11">
        <v>2</v>
      </c>
      <c r="CF43" s="11">
        <v>2</v>
      </c>
      <c r="CG43" s="11">
        <v>3</v>
      </c>
      <c r="CH43" s="11">
        <v>0</v>
      </c>
      <c r="CI43" s="11">
        <v>2</v>
      </c>
      <c r="CJ43" s="11">
        <v>4</v>
      </c>
      <c r="CK43" s="11">
        <v>4</v>
      </c>
      <c r="CL43" s="11">
        <v>3</v>
      </c>
      <c r="CM43" s="27">
        <v>3</v>
      </c>
    </row>
    <row r="44" spans="1:91" x14ac:dyDescent="0.3">
      <c r="A44" s="44" t="str">
        <v>WXW - Packet Array  H</v>
      </c>
      <c r="B44" s="26">
        <v>1</v>
      </c>
      <c r="C44" s="11">
        <v>5</v>
      </c>
      <c r="D44" s="11">
        <v>5</v>
      </c>
      <c r="E44" s="11">
        <v>4</v>
      </c>
      <c r="F44" s="11">
        <v>6</v>
      </c>
      <c r="G44" s="11">
        <v>3</v>
      </c>
      <c r="H44" s="11">
        <v>2</v>
      </c>
      <c r="I44" s="11">
        <v>2</v>
      </c>
      <c r="J44" s="11">
        <v>4</v>
      </c>
      <c r="K44" s="27">
        <v>3</v>
      </c>
      <c r="L44" s="26">
        <v>1</v>
      </c>
      <c r="M44" s="11">
        <v>5</v>
      </c>
      <c r="N44" s="11">
        <v>5</v>
      </c>
      <c r="O44" s="11">
        <v>5</v>
      </c>
      <c r="P44" s="11">
        <v>7</v>
      </c>
      <c r="Q44" s="11">
        <v>3</v>
      </c>
      <c r="R44" s="11">
        <v>2</v>
      </c>
      <c r="S44" s="11">
        <v>2</v>
      </c>
      <c r="T44" s="11">
        <v>4</v>
      </c>
      <c r="U44" s="27">
        <v>3</v>
      </c>
      <c r="V44" s="26">
        <v>1</v>
      </c>
      <c r="W44" s="11">
        <v>4</v>
      </c>
      <c r="X44" s="11">
        <v>3</v>
      </c>
      <c r="Y44" s="11">
        <v>3</v>
      </c>
      <c r="Z44" s="11">
        <v>4</v>
      </c>
      <c r="AA44" s="11">
        <v>2</v>
      </c>
      <c r="AB44" s="11">
        <v>2</v>
      </c>
      <c r="AC44" s="11">
        <v>2</v>
      </c>
      <c r="AD44" s="11">
        <v>2</v>
      </c>
      <c r="AE44" s="27">
        <v>2</v>
      </c>
      <c r="AF44" s="26">
        <v>0</v>
      </c>
      <c r="AG44" s="11">
        <v>2</v>
      </c>
      <c r="AH44" s="11">
        <v>2</v>
      </c>
      <c r="AI44" s="11">
        <v>2</v>
      </c>
      <c r="AJ44" s="11">
        <v>3</v>
      </c>
      <c r="AK44" s="11">
        <v>1</v>
      </c>
      <c r="AL44" s="11">
        <v>1</v>
      </c>
      <c r="AM44" s="11">
        <v>1</v>
      </c>
      <c r="AN44" s="11">
        <v>2</v>
      </c>
      <c r="AO44" s="27">
        <v>1</v>
      </c>
      <c r="AP44" s="26">
        <v>0</v>
      </c>
      <c r="AQ44" s="11">
        <v>2</v>
      </c>
      <c r="AR44" s="11">
        <v>2</v>
      </c>
      <c r="AS44" s="11">
        <v>2</v>
      </c>
      <c r="AT44" s="11">
        <v>3</v>
      </c>
      <c r="AU44" s="11">
        <v>1</v>
      </c>
      <c r="AV44" s="11">
        <v>1</v>
      </c>
      <c r="AW44" s="11">
        <v>1</v>
      </c>
      <c r="AX44" s="11">
        <v>2</v>
      </c>
      <c r="AY44" s="27">
        <v>1</v>
      </c>
      <c r="AZ44" s="26">
        <v>0</v>
      </c>
      <c r="BA44" s="11">
        <v>2</v>
      </c>
      <c r="BB44" s="11">
        <v>2</v>
      </c>
      <c r="BC44" s="11">
        <v>2</v>
      </c>
      <c r="BD44" s="11">
        <v>3</v>
      </c>
      <c r="BE44" s="11">
        <v>1</v>
      </c>
      <c r="BF44" s="11">
        <v>1</v>
      </c>
      <c r="BG44" s="11">
        <v>1</v>
      </c>
      <c r="BH44" s="11">
        <v>2</v>
      </c>
      <c r="BI44" s="27">
        <v>1</v>
      </c>
      <c r="BJ44" s="26">
        <v>0</v>
      </c>
      <c r="BK44" s="11">
        <v>1</v>
      </c>
      <c r="BL44" s="11">
        <v>1</v>
      </c>
      <c r="BM44" s="11">
        <v>1</v>
      </c>
      <c r="BN44" s="11">
        <v>2</v>
      </c>
      <c r="BO44" s="11">
        <v>1</v>
      </c>
      <c r="BP44" s="11">
        <v>0</v>
      </c>
      <c r="BQ44" s="11">
        <v>0</v>
      </c>
      <c r="BR44" s="11">
        <v>1</v>
      </c>
      <c r="BS44" s="27">
        <v>1</v>
      </c>
      <c r="BT44" s="26">
        <v>0</v>
      </c>
      <c r="BU44" s="11">
        <v>1</v>
      </c>
      <c r="BV44" s="11">
        <v>1</v>
      </c>
      <c r="BW44" s="11">
        <v>1</v>
      </c>
      <c r="BX44" s="11">
        <v>2</v>
      </c>
      <c r="BY44" s="11">
        <v>1</v>
      </c>
      <c r="BZ44" s="11">
        <v>0</v>
      </c>
      <c r="CA44" s="11">
        <v>0</v>
      </c>
      <c r="CB44" s="11">
        <v>1</v>
      </c>
      <c r="CC44" s="27">
        <v>1</v>
      </c>
      <c r="CD44" s="26">
        <v>0</v>
      </c>
      <c r="CE44" s="11">
        <v>1</v>
      </c>
      <c r="CF44" s="11">
        <v>1</v>
      </c>
      <c r="CG44" s="11">
        <v>1</v>
      </c>
      <c r="CH44" s="11">
        <v>2</v>
      </c>
      <c r="CI44" s="11">
        <v>1</v>
      </c>
      <c r="CJ44" s="11">
        <v>0</v>
      </c>
      <c r="CK44" s="11">
        <v>0</v>
      </c>
      <c r="CL44" s="11">
        <v>1</v>
      </c>
      <c r="CM44" s="27">
        <v>1</v>
      </c>
    </row>
    <row r="45" spans="1:91" x14ac:dyDescent="0.3">
      <c r="A45" s="44" t="str">
        <v>WXW - Parts / Layer</v>
      </c>
      <c r="B45" s="26">
        <v>22</v>
      </c>
      <c r="C45" s="11">
        <v>14</v>
      </c>
      <c r="D45" s="11">
        <v>8</v>
      </c>
      <c r="E45" s="11">
        <v>13</v>
      </c>
      <c r="F45" s="11">
        <v>3</v>
      </c>
      <c r="G45" s="11">
        <v>8</v>
      </c>
      <c r="H45" s="11">
        <v>64</v>
      </c>
      <c r="I45" s="11">
        <v>64</v>
      </c>
      <c r="J45" s="11">
        <v>36</v>
      </c>
      <c r="K45" s="27">
        <v>24</v>
      </c>
      <c r="L45" s="26">
        <v>18</v>
      </c>
      <c r="M45" s="11">
        <v>15</v>
      </c>
      <c r="N45" s="11">
        <v>7</v>
      </c>
      <c r="O45" s="11">
        <v>22</v>
      </c>
      <c r="P45" s="11">
        <v>2</v>
      </c>
      <c r="Q45" s="11">
        <v>12</v>
      </c>
      <c r="R45" s="11">
        <v>65</v>
      </c>
      <c r="S45" s="11">
        <v>65</v>
      </c>
      <c r="T45" s="11">
        <v>40</v>
      </c>
      <c r="U45" s="27">
        <v>30</v>
      </c>
      <c r="V45" s="26">
        <v>18</v>
      </c>
      <c r="W45" s="11">
        <v>15</v>
      </c>
      <c r="X45" s="11">
        <v>6</v>
      </c>
      <c r="Y45" s="11">
        <v>10</v>
      </c>
      <c r="Z45" s="11">
        <v>2</v>
      </c>
      <c r="AA45" s="11">
        <v>6</v>
      </c>
      <c r="AB45" s="11">
        <v>65</v>
      </c>
      <c r="AC45" s="11">
        <v>65</v>
      </c>
      <c r="AD45" s="11">
        <v>36</v>
      </c>
      <c r="AE45" s="27">
        <v>27</v>
      </c>
      <c r="AF45" s="26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11">
        <v>0</v>
      </c>
      <c r="AO45" s="27">
        <v>0</v>
      </c>
      <c r="AP45" s="26">
        <v>0</v>
      </c>
      <c r="AQ45" s="11">
        <v>0</v>
      </c>
      <c r="AR45" s="11">
        <v>0</v>
      </c>
      <c r="AS45" s="11">
        <v>0</v>
      </c>
      <c r="AT45" s="11">
        <v>0</v>
      </c>
      <c r="AU45" s="11">
        <v>0</v>
      </c>
      <c r="AV45" s="11">
        <v>6</v>
      </c>
      <c r="AW45" s="11">
        <v>6</v>
      </c>
      <c r="AX45" s="11">
        <v>0</v>
      </c>
      <c r="AY45" s="27">
        <v>0</v>
      </c>
      <c r="AZ45" s="26">
        <v>0</v>
      </c>
      <c r="BA45" s="11">
        <v>0</v>
      </c>
      <c r="BB45" s="11">
        <v>0</v>
      </c>
      <c r="BC45" s="11">
        <v>0</v>
      </c>
      <c r="BD45" s="11">
        <v>0</v>
      </c>
      <c r="BE45" s="11">
        <v>0</v>
      </c>
      <c r="BF45" s="11">
        <v>6</v>
      </c>
      <c r="BG45" s="11">
        <v>6</v>
      </c>
      <c r="BH45" s="11">
        <v>4</v>
      </c>
      <c r="BI45" s="27">
        <v>0</v>
      </c>
      <c r="BJ45" s="26">
        <v>0</v>
      </c>
      <c r="BK45" s="11">
        <v>0</v>
      </c>
      <c r="BL45" s="11">
        <v>0</v>
      </c>
      <c r="BM45" s="11">
        <v>0</v>
      </c>
      <c r="BN45" s="11">
        <v>0</v>
      </c>
      <c r="BO45" s="11">
        <v>0</v>
      </c>
      <c r="BP45" s="11">
        <v>0</v>
      </c>
      <c r="BQ45" s="11">
        <v>0</v>
      </c>
      <c r="BR45" s="11">
        <v>0</v>
      </c>
      <c r="BS45" s="27">
        <v>0</v>
      </c>
      <c r="BT45" s="26">
        <v>0</v>
      </c>
      <c r="BU45" s="11">
        <v>0</v>
      </c>
      <c r="BV45" s="11">
        <v>0</v>
      </c>
      <c r="BW45" s="11">
        <v>0</v>
      </c>
      <c r="BX45" s="11">
        <v>0</v>
      </c>
      <c r="BY45" s="11">
        <v>0</v>
      </c>
      <c r="BZ45" s="11">
        <v>4</v>
      </c>
      <c r="CA45" s="11">
        <v>4</v>
      </c>
      <c r="CB45" s="11">
        <v>0</v>
      </c>
      <c r="CC45" s="27">
        <v>0</v>
      </c>
      <c r="CD45" s="26">
        <v>0</v>
      </c>
      <c r="CE45" s="11">
        <v>0</v>
      </c>
      <c r="CF45" s="11">
        <v>0</v>
      </c>
      <c r="CG45" s="11">
        <v>0</v>
      </c>
      <c r="CH45" s="11">
        <v>0</v>
      </c>
      <c r="CI45" s="11">
        <v>0</v>
      </c>
      <c r="CJ45" s="11">
        <v>4</v>
      </c>
      <c r="CK45" s="11">
        <v>4</v>
      </c>
      <c r="CL45" s="11">
        <v>3</v>
      </c>
      <c r="CM45" s="27">
        <v>0</v>
      </c>
    </row>
    <row r="46" spans="1:91" x14ac:dyDescent="0.3">
      <c r="A46" s="44" t="str">
        <v>WXW - Layers / GLT</v>
      </c>
      <c r="B46" s="26">
        <v>1</v>
      </c>
      <c r="C46" s="11">
        <v>5</v>
      </c>
      <c r="D46" s="11">
        <v>5</v>
      </c>
      <c r="E46" s="11">
        <v>4</v>
      </c>
      <c r="F46" s="11">
        <v>6</v>
      </c>
      <c r="G46" s="11">
        <v>3</v>
      </c>
      <c r="H46" s="11">
        <v>2</v>
      </c>
      <c r="I46" s="11">
        <v>2</v>
      </c>
      <c r="J46" s="11">
        <v>4</v>
      </c>
      <c r="K46" s="27">
        <v>3</v>
      </c>
      <c r="L46" s="26">
        <v>1</v>
      </c>
      <c r="M46" s="11">
        <v>5</v>
      </c>
      <c r="N46" s="11">
        <v>5</v>
      </c>
      <c r="O46" s="11">
        <v>5</v>
      </c>
      <c r="P46" s="11">
        <v>7</v>
      </c>
      <c r="Q46" s="11">
        <v>3</v>
      </c>
      <c r="R46" s="11">
        <v>2</v>
      </c>
      <c r="S46" s="11">
        <v>2</v>
      </c>
      <c r="T46" s="11">
        <v>4</v>
      </c>
      <c r="U46" s="27">
        <v>3</v>
      </c>
      <c r="V46" s="26">
        <v>1</v>
      </c>
      <c r="W46" s="11">
        <v>4</v>
      </c>
      <c r="X46" s="11">
        <v>3</v>
      </c>
      <c r="Y46" s="11">
        <v>3</v>
      </c>
      <c r="Z46" s="11">
        <v>4</v>
      </c>
      <c r="AA46" s="11">
        <v>2</v>
      </c>
      <c r="AB46" s="11">
        <v>2</v>
      </c>
      <c r="AC46" s="11">
        <v>2</v>
      </c>
      <c r="AD46" s="11">
        <v>2</v>
      </c>
      <c r="AE46" s="27">
        <v>2</v>
      </c>
      <c r="AF46" s="26">
        <v>0</v>
      </c>
      <c r="AG46" s="11">
        <v>2</v>
      </c>
      <c r="AH46" s="11">
        <v>2</v>
      </c>
      <c r="AI46" s="11">
        <v>2</v>
      </c>
      <c r="AJ46" s="11">
        <v>3</v>
      </c>
      <c r="AK46" s="11">
        <v>1</v>
      </c>
      <c r="AL46" s="11">
        <v>1</v>
      </c>
      <c r="AM46" s="11">
        <v>1</v>
      </c>
      <c r="AN46" s="11">
        <v>2</v>
      </c>
      <c r="AO46" s="27">
        <v>1</v>
      </c>
      <c r="AP46" s="26">
        <v>0</v>
      </c>
      <c r="AQ46" s="11">
        <v>2</v>
      </c>
      <c r="AR46" s="11">
        <v>2</v>
      </c>
      <c r="AS46" s="11">
        <v>2</v>
      </c>
      <c r="AT46" s="11">
        <v>3</v>
      </c>
      <c r="AU46" s="11">
        <v>1</v>
      </c>
      <c r="AV46" s="11">
        <v>1</v>
      </c>
      <c r="AW46" s="11">
        <v>1</v>
      </c>
      <c r="AX46" s="11">
        <v>2</v>
      </c>
      <c r="AY46" s="27">
        <v>1</v>
      </c>
      <c r="AZ46" s="26">
        <v>0</v>
      </c>
      <c r="BA46" s="11">
        <v>2</v>
      </c>
      <c r="BB46" s="11">
        <v>2</v>
      </c>
      <c r="BC46" s="11">
        <v>2</v>
      </c>
      <c r="BD46" s="11">
        <v>3</v>
      </c>
      <c r="BE46" s="11">
        <v>1</v>
      </c>
      <c r="BF46" s="11">
        <v>1</v>
      </c>
      <c r="BG46" s="11">
        <v>1</v>
      </c>
      <c r="BH46" s="11">
        <v>2</v>
      </c>
      <c r="BI46" s="27">
        <v>1</v>
      </c>
      <c r="BJ46" s="26">
        <v>0</v>
      </c>
      <c r="BK46" s="11">
        <v>1</v>
      </c>
      <c r="BL46" s="11">
        <v>1</v>
      </c>
      <c r="BM46" s="11">
        <v>1</v>
      </c>
      <c r="BN46" s="11">
        <v>2</v>
      </c>
      <c r="BO46" s="11">
        <v>1</v>
      </c>
      <c r="BP46" s="11">
        <v>0</v>
      </c>
      <c r="BQ46" s="11">
        <v>0</v>
      </c>
      <c r="BR46" s="11">
        <v>1</v>
      </c>
      <c r="BS46" s="27">
        <v>1</v>
      </c>
      <c r="BT46" s="26">
        <v>0</v>
      </c>
      <c r="BU46" s="11">
        <v>1</v>
      </c>
      <c r="BV46" s="11">
        <v>1</v>
      </c>
      <c r="BW46" s="11">
        <v>1</v>
      </c>
      <c r="BX46" s="11">
        <v>2</v>
      </c>
      <c r="BY46" s="11">
        <v>1</v>
      </c>
      <c r="BZ46" s="11">
        <v>0</v>
      </c>
      <c r="CA46" s="11">
        <v>0</v>
      </c>
      <c r="CB46" s="11">
        <v>1</v>
      </c>
      <c r="CC46" s="27">
        <v>1</v>
      </c>
      <c r="CD46" s="26">
        <v>0</v>
      </c>
      <c r="CE46" s="11">
        <v>1</v>
      </c>
      <c r="CF46" s="11">
        <v>1</v>
      </c>
      <c r="CG46" s="11">
        <v>1</v>
      </c>
      <c r="CH46" s="11">
        <v>2</v>
      </c>
      <c r="CI46" s="11">
        <v>1</v>
      </c>
      <c r="CJ46" s="11">
        <v>0</v>
      </c>
      <c r="CK46" s="11">
        <v>0</v>
      </c>
      <c r="CL46" s="11">
        <v>1</v>
      </c>
      <c r="CM46" s="27">
        <v>1</v>
      </c>
    </row>
    <row r="47" spans="1:91" x14ac:dyDescent="0.3">
      <c r="A47" s="46" t="str">
        <v>WXW - Parts / GLT</v>
      </c>
      <c r="B47" s="34">
        <v>22</v>
      </c>
      <c r="C47" s="35">
        <v>70</v>
      </c>
      <c r="D47" s="35">
        <v>40</v>
      </c>
      <c r="E47" s="35">
        <v>52</v>
      </c>
      <c r="F47" s="35">
        <v>18</v>
      </c>
      <c r="G47" s="35">
        <v>24</v>
      </c>
      <c r="H47" s="35">
        <v>128</v>
      </c>
      <c r="I47" s="35">
        <v>128</v>
      </c>
      <c r="J47" s="35">
        <v>144</v>
      </c>
      <c r="K47" s="36">
        <v>72</v>
      </c>
      <c r="L47" s="34">
        <v>18</v>
      </c>
      <c r="M47" s="35">
        <v>75</v>
      </c>
      <c r="N47" s="35">
        <v>35</v>
      </c>
      <c r="O47" s="35">
        <v>110</v>
      </c>
      <c r="P47" s="35">
        <v>14</v>
      </c>
      <c r="Q47" s="35">
        <v>36</v>
      </c>
      <c r="R47" s="35">
        <v>130</v>
      </c>
      <c r="S47" s="35">
        <v>130</v>
      </c>
      <c r="T47" s="35">
        <v>160</v>
      </c>
      <c r="U47" s="36">
        <v>90</v>
      </c>
      <c r="V47" s="34">
        <v>18</v>
      </c>
      <c r="W47" s="35">
        <v>60</v>
      </c>
      <c r="X47" s="35">
        <v>18</v>
      </c>
      <c r="Y47" s="35">
        <v>30</v>
      </c>
      <c r="Z47" s="35">
        <v>8</v>
      </c>
      <c r="AA47" s="35">
        <v>12</v>
      </c>
      <c r="AB47" s="35">
        <v>130</v>
      </c>
      <c r="AC47" s="35">
        <v>130</v>
      </c>
      <c r="AD47" s="35">
        <v>72</v>
      </c>
      <c r="AE47" s="36">
        <v>54</v>
      </c>
      <c r="AF47" s="34">
        <v>0</v>
      </c>
      <c r="AG47" s="35">
        <v>0</v>
      </c>
      <c r="AH47" s="35">
        <v>0</v>
      </c>
      <c r="AI47" s="35">
        <v>0</v>
      </c>
      <c r="AJ47" s="35">
        <v>0</v>
      </c>
      <c r="AK47" s="35">
        <v>0</v>
      </c>
      <c r="AL47" s="35">
        <v>0</v>
      </c>
      <c r="AM47" s="35">
        <v>0</v>
      </c>
      <c r="AN47" s="35">
        <v>0</v>
      </c>
      <c r="AO47" s="36">
        <v>0</v>
      </c>
      <c r="AP47" s="34">
        <v>0</v>
      </c>
      <c r="AQ47" s="35">
        <v>0</v>
      </c>
      <c r="AR47" s="35">
        <v>0</v>
      </c>
      <c r="AS47" s="35">
        <v>0</v>
      </c>
      <c r="AT47" s="35">
        <v>0</v>
      </c>
      <c r="AU47" s="35">
        <v>0</v>
      </c>
      <c r="AV47" s="35">
        <v>6</v>
      </c>
      <c r="AW47" s="35">
        <v>6</v>
      </c>
      <c r="AX47" s="35">
        <v>0</v>
      </c>
      <c r="AY47" s="36">
        <v>0</v>
      </c>
      <c r="AZ47" s="34">
        <v>0</v>
      </c>
      <c r="BA47" s="35">
        <v>0</v>
      </c>
      <c r="BB47" s="35">
        <v>0</v>
      </c>
      <c r="BC47" s="35">
        <v>0</v>
      </c>
      <c r="BD47" s="35">
        <v>0</v>
      </c>
      <c r="BE47" s="35">
        <v>0</v>
      </c>
      <c r="BF47" s="35">
        <v>6</v>
      </c>
      <c r="BG47" s="35">
        <v>6</v>
      </c>
      <c r="BH47" s="35">
        <v>8</v>
      </c>
      <c r="BI47" s="36">
        <v>0</v>
      </c>
      <c r="BJ47" s="34">
        <v>0</v>
      </c>
      <c r="BK47" s="35">
        <v>0</v>
      </c>
      <c r="BL47" s="35">
        <v>0</v>
      </c>
      <c r="BM47" s="35">
        <v>0</v>
      </c>
      <c r="BN47" s="35">
        <v>0</v>
      </c>
      <c r="BO47" s="35">
        <v>0</v>
      </c>
      <c r="BP47" s="35">
        <v>0</v>
      </c>
      <c r="BQ47" s="35">
        <v>0</v>
      </c>
      <c r="BR47" s="35">
        <v>0</v>
      </c>
      <c r="BS47" s="36">
        <v>0</v>
      </c>
      <c r="BT47" s="34">
        <v>0</v>
      </c>
      <c r="BU47" s="35">
        <v>0</v>
      </c>
      <c r="BV47" s="35">
        <v>0</v>
      </c>
      <c r="BW47" s="35">
        <v>0</v>
      </c>
      <c r="BX47" s="35">
        <v>0</v>
      </c>
      <c r="BY47" s="35">
        <v>0</v>
      </c>
      <c r="BZ47" s="35">
        <v>0</v>
      </c>
      <c r="CA47" s="35">
        <v>0</v>
      </c>
      <c r="CB47" s="35">
        <v>0</v>
      </c>
      <c r="CC47" s="36">
        <v>0</v>
      </c>
      <c r="CD47" s="34">
        <v>0</v>
      </c>
      <c r="CE47" s="35">
        <v>0</v>
      </c>
      <c r="CF47" s="35">
        <v>0</v>
      </c>
      <c r="CG47" s="35">
        <v>0</v>
      </c>
      <c r="CH47" s="35">
        <v>0</v>
      </c>
      <c r="CI47" s="35">
        <v>0</v>
      </c>
      <c r="CJ47" s="35">
        <v>0</v>
      </c>
      <c r="CK47" s="35">
        <v>0</v>
      </c>
      <c r="CL47" s="35">
        <v>3</v>
      </c>
      <c r="CM47" s="36">
        <v>0</v>
      </c>
    </row>
    <row r="48" spans="1:91" x14ac:dyDescent="0.3">
      <c r="A48" s="44" t="str">
        <v>WxH - GLT Size ID(mm)</v>
      </c>
      <c r="B48" s="26">
        <v>920</v>
      </c>
      <c r="C48" s="11">
        <v>920</v>
      </c>
      <c r="D48" s="11">
        <v>920</v>
      </c>
      <c r="E48" s="11">
        <v>920</v>
      </c>
      <c r="F48" s="11">
        <v>920</v>
      </c>
      <c r="G48" s="11">
        <v>920</v>
      </c>
      <c r="H48" s="11">
        <v>920</v>
      </c>
      <c r="I48" s="11">
        <v>920</v>
      </c>
      <c r="J48" s="11">
        <v>920</v>
      </c>
      <c r="K48" s="27">
        <v>920</v>
      </c>
      <c r="L48" s="26">
        <v>755</v>
      </c>
      <c r="M48" s="11">
        <v>755</v>
      </c>
      <c r="N48" s="11">
        <v>755</v>
      </c>
      <c r="O48" s="11">
        <v>755</v>
      </c>
      <c r="P48" s="11">
        <v>755</v>
      </c>
      <c r="Q48" s="11">
        <v>755</v>
      </c>
      <c r="R48" s="11">
        <v>755</v>
      </c>
      <c r="S48" s="11">
        <v>755</v>
      </c>
      <c r="T48" s="11">
        <v>755</v>
      </c>
      <c r="U48" s="27">
        <v>755</v>
      </c>
      <c r="V48" s="26">
        <v>730</v>
      </c>
      <c r="W48" s="11">
        <v>730</v>
      </c>
      <c r="X48" s="11">
        <v>730</v>
      </c>
      <c r="Y48" s="11">
        <v>730</v>
      </c>
      <c r="Z48" s="11">
        <v>730</v>
      </c>
      <c r="AA48" s="11">
        <v>730</v>
      </c>
      <c r="AB48" s="11">
        <v>730</v>
      </c>
      <c r="AC48" s="11">
        <v>730</v>
      </c>
      <c r="AD48" s="11">
        <v>730</v>
      </c>
      <c r="AE48" s="27">
        <v>730</v>
      </c>
      <c r="AF48" s="26">
        <v>360</v>
      </c>
      <c r="AG48" s="11">
        <v>360</v>
      </c>
      <c r="AH48" s="11">
        <v>360</v>
      </c>
      <c r="AI48" s="11">
        <v>360</v>
      </c>
      <c r="AJ48" s="11">
        <v>360</v>
      </c>
      <c r="AK48" s="11">
        <v>360</v>
      </c>
      <c r="AL48" s="11">
        <v>360</v>
      </c>
      <c r="AM48" s="11">
        <v>360</v>
      </c>
      <c r="AN48" s="11">
        <v>360</v>
      </c>
      <c r="AO48" s="27">
        <v>360</v>
      </c>
      <c r="AP48" s="26">
        <v>360</v>
      </c>
      <c r="AQ48" s="11">
        <v>360</v>
      </c>
      <c r="AR48" s="11">
        <v>360</v>
      </c>
      <c r="AS48" s="11">
        <v>360</v>
      </c>
      <c r="AT48" s="11">
        <v>360</v>
      </c>
      <c r="AU48" s="11">
        <v>360</v>
      </c>
      <c r="AV48" s="11">
        <v>360</v>
      </c>
      <c r="AW48" s="11">
        <v>360</v>
      </c>
      <c r="AX48" s="11">
        <v>360</v>
      </c>
      <c r="AY48" s="27">
        <v>360</v>
      </c>
      <c r="AZ48" s="26">
        <v>360</v>
      </c>
      <c r="BA48" s="11">
        <v>360</v>
      </c>
      <c r="BB48" s="11">
        <v>360</v>
      </c>
      <c r="BC48" s="11">
        <v>360</v>
      </c>
      <c r="BD48" s="11">
        <v>360</v>
      </c>
      <c r="BE48" s="11">
        <v>360</v>
      </c>
      <c r="BF48" s="11">
        <v>360</v>
      </c>
      <c r="BG48" s="11">
        <v>360</v>
      </c>
      <c r="BH48" s="11">
        <v>360</v>
      </c>
      <c r="BI48" s="27">
        <v>360</v>
      </c>
      <c r="BJ48" s="26">
        <v>260</v>
      </c>
      <c r="BK48" s="11">
        <v>260</v>
      </c>
      <c r="BL48" s="11">
        <v>260</v>
      </c>
      <c r="BM48" s="11">
        <v>260</v>
      </c>
      <c r="BN48" s="11">
        <v>260</v>
      </c>
      <c r="BO48" s="11">
        <v>260</v>
      </c>
      <c r="BP48" s="11">
        <v>260</v>
      </c>
      <c r="BQ48" s="11">
        <v>260</v>
      </c>
      <c r="BR48" s="11">
        <v>260</v>
      </c>
      <c r="BS48" s="27">
        <v>260</v>
      </c>
      <c r="BT48" s="26">
        <v>260</v>
      </c>
      <c r="BU48" s="11">
        <v>260</v>
      </c>
      <c r="BV48" s="11">
        <v>260</v>
      </c>
      <c r="BW48" s="11">
        <v>260</v>
      </c>
      <c r="BX48" s="11">
        <v>260</v>
      </c>
      <c r="BY48" s="11">
        <v>260</v>
      </c>
      <c r="BZ48" s="11">
        <v>260</v>
      </c>
      <c r="CA48" s="11">
        <v>260</v>
      </c>
      <c r="CB48" s="11">
        <v>260</v>
      </c>
      <c r="CC48" s="27">
        <v>260</v>
      </c>
      <c r="CD48" s="26">
        <v>260</v>
      </c>
      <c r="CE48" s="11">
        <v>260</v>
      </c>
      <c r="CF48" s="11">
        <v>260</v>
      </c>
      <c r="CG48" s="11">
        <v>260</v>
      </c>
      <c r="CH48" s="11">
        <v>260</v>
      </c>
      <c r="CI48" s="11">
        <v>260</v>
      </c>
      <c r="CJ48" s="11">
        <v>260</v>
      </c>
      <c r="CK48" s="11">
        <v>260</v>
      </c>
      <c r="CL48" s="11">
        <v>260</v>
      </c>
      <c r="CM48" s="27">
        <v>260</v>
      </c>
    </row>
    <row r="49" spans="1:91" x14ac:dyDescent="0.3">
      <c r="A49" s="44" t="str">
        <v>WxH - GLT Size ID(mm)</v>
      </c>
      <c r="B49" s="26">
        <v>640</v>
      </c>
      <c r="C49" s="11">
        <v>640</v>
      </c>
      <c r="D49" s="11">
        <v>640</v>
      </c>
      <c r="E49" s="11">
        <v>640</v>
      </c>
      <c r="F49" s="11">
        <v>640</v>
      </c>
      <c r="G49" s="11">
        <v>640</v>
      </c>
      <c r="H49" s="11">
        <v>640</v>
      </c>
      <c r="I49" s="11">
        <v>640</v>
      </c>
      <c r="J49" s="11">
        <v>640</v>
      </c>
      <c r="K49" s="27">
        <v>640</v>
      </c>
      <c r="L49" s="26">
        <v>780</v>
      </c>
      <c r="M49" s="11">
        <v>780</v>
      </c>
      <c r="N49" s="11">
        <v>780</v>
      </c>
      <c r="O49" s="11">
        <v>780</v>
      </c>
      <c r="P49" s="11">
        <v>780</v>
      </c>
      <c r="Q49" s="11">
        <v>780</v>
      </c>
      <c r="R49" s="11">
        <v>780</v>
      </c>
      <c r="S49" s="11">
        <v>780</v>
      </c>
      <c r="T49" s="11">
        <v>780</v>
      </c>
      <c r="U49" s="27">
        <v>780</v>
      </c>
      <c r="V49" s="26">
        <v>720</v>
      </c>
      <c r="W49" s="11">
        <v>720</v>
      </c>
      <c r="X49" s="11">
        <v>720</v>
      </c>
      <c r="Y49" s="11">
        <v>720</v>
      </c>
      <c r="Z49" s="11">
        <v>720</v>
      </c>
      <c r="AA49" s="11">
        <v>720</v>
      </c>
      <c r="AB49" s="11">
        <v>720</v>
      </c>
      <c r="AC49" s="11">
        <v>720</v>
      </c>
      <c r="AD49" s="11">
        <v>720</v>
      </c>
      <c r="AE49" s="27">
        <v>720</v>
      </c>
      <c r="AF49" s="26">
        <v>105</v>
      </c>
      <c r="AG49" s="11">
        <v>105</v>
      </c>
      <c r="AH49" s="11">
        <v>105</v>
      </c>
      <c r="AI49" s="11">
        <v>105</v>
      </c>
      <c r="AJ49" s="11">
        <v>105</v>
      </c>
      <c r="AK49" s="11">
        <v>105</v>
      </c>
      <c r="AL49" s="11">
        <v>105</v>
      </c>
      <c r="AM49" s="11">
        <v>105</v>
      </c>
      <c r="AN49" s="11">
        <v>105</v>
      </c>
      <c r="AO49" s="27">
        <v>105</v>
      </c>
      <c r="AP49" s="26">
        <v>155</v>
      </c>
      <c r="AQ49" s="11">
        <v>155</v>
      </c>
      <c r="AR49" s="11">
        <v>155</v>
      </c>
      <c r="AS49" s="11">
        <v>155</v>
      </c>
      <c r="AT49" s="11">
        <v>155</v>
      </c>
      <c r="AU49" s="11">
        <v>155</v>
      </c>
      <c r="AV49" s="11">
        <v>155</v>
      </c>
      <c r="AW49" s="11">
        <v>155</v>
      </c>
      <c r="AX49" s="11">
        <v>155</v>
      </c>
      <c r="AY49" s="27">
        <v>155</v>
      </c>
      <c r="AZ49" s="26">
        <v>205</v>
      </c>
      <c r="BA49" s="11">
        <v>205</v>
      </c>
      <c r="BB49" s="11">
        <v>205</v>
      </c>
      <c r="BC49" s="11">
        <v>205</v>
      </c>
      <c r="BD49" s="11">
        <v>205</v>
      </c>
      <c r="BE49" s="11">
        <v>205</v>
      </c>
      <c r="BF49" s="11">
        <v>205</v>
      </c>
      <c r="BG49" s="11">
        <v>205</v>
      </c>
      <c r="BH49" s="11">
        <v>205</v>
      </c>
      <c r="BI49" s="27">
        <v>205</v>
      </c>
      <c r="BJ49" s="26">
        <v>105</v>
      </c>
      <c r="BK49" s="11">
        <v>105</v>
      </c>
      <c r="BL49" s="11">
        <v>105</v>
      </c>
      <c r="BM49" s="11">
        <v>105</v>
      </c>
      <c r="BN49" s="11">
        <v>105</v>
      </c>
      <c r="BO49" s="11">
        <v>105</v>
      </c>
      <c r="BP49" s="11">
        <v>105</v>
      </c>
      <c r="BQ49" s="11">
        <v>105</v>
      </c>
      <c r="BR49" s="11">
        <v>105</v>
      </c>
      <c r="BS49" s="27">
        <v>105</v>
      </c>
      <c r="BT49" s="26">
        <v>155</v>
      </c>
      <c r="BU49" s="11">
        <v>155</v>
      </c>
      <c r="BV49" s="11">
        <v>155</v>
      </c>
      <c r="BW49" s="11">
        <v>155</v>
      </c>
      <c r="BX49" s="11">
        <v>155</v>
      </c>
      <c r="BY49" s="11">
        <v>155</v>
      </c>
      <c r="BZ49" s="11">
        <v>155</v>
      </c>
      <c r="CA49" s="11">
        <v>155</v>
      </c>
      <c r="CB49" s="11">
        <v>155</v>
      </c>
      <c r="CC49" s="27">
        <v>155</v>
      </c>
      <c r="CD49" s="26">
        <v>205</v>
      </c>
      <c r="CE49" s="11">
        <v>205</v>
      </c>
      <c r="CF49" s="11">
        <v>205</v>
      </c>
      <c r="CG49" s="11">
        <v>205</v>
      </c>
      <c r="CH49" s="11">
        <v>205</v>
      </c>
      <c r="CI49" s="11">
        <v>205</v>
      </c>
      <c r="CJ49" s="11">
        <v>205</v>
      </c>
      <c r="CK49" s="11">
        <v>205</v>
      </c>
      <c r="CL49" s="11">
        <v>205</v>
      </c>
      <c r="CM49" s="27">
        <v>205</v>
      </c>
    </row>
    <row r="50" spans="1:91" x14ac:dyDescent="0.3">
      <c r="A50" s="44" t="str">
        <v>WxH - GLT Size ID(mm)</v>
      </c>
      <c r="B50" s="26">
        <v>1120</v>
      </c>
      <c r="C50" s="11">
        <v>1120</v>
      </c>
      <c r="D50" s="11">
        <v>1120</v>
      </c>
      <c r="E50" s="11">
        <v>1120</v>
      </c>
      <c r="F50" s="11">
        <v>1120</v>
      </c>
      <c r="G50" s="11">
        <v>1120</v>
      </c>
      <c r="H50" s="11">
        <v>1120</v>
      </c>
      <c r="I50" s="11">
        <v>1120</v>
      </c>
      <c r="J50" s="11">
        <v>1120</v>
      </c>
      <c r="K50" s="27">
        <v>1120</v>
      </c>
      <c r="L50" s="26">
        <v>1155</v>
      </c>
      <c r="M50" s="11">
        <v>1155</v>
      </c>
      <c r="N50" s="11">
        <v>1155</v>
      </c>
      <c r="O50" s="11">
        <v>1155</v>
      </c>
      <c r="P50" s="11">
        <v>1155</v>
      </c>
      <c r="Q50" s="11">
        <v>1155</v>
      </c>
      <c r="R50" s="11">
        <v>1155</v>
      </c>
      <c r="S50" s="11">
        <v>1155</v>
      </c>
      <c r="T50" s="11">
        <v>1155</v>
      </c>
      <c r="U50" s="27">
        <v>1155</v>
      </c>
      <c r="V50" s="26">
        <v>780</v>
      </c>
      <c r="W50" s="11">
        <v>780</v>
      </c>
      <c r="X50" s="11">
        <v>780</v>
      </c>
      <c r="Y50" s="11">
        <v>780</v>
      </c>
      <c r="Z50" s="11">
        <v>780</v>
      </c>
      <c r="AA50" s="11">
        <v>780</v>
      </c>
      <c r="AB50" s="11">
        <v>780</v>
      </c>
      <c r="AC50" s="11">
        <v>780</v>
      </c>
      <c r="AD50" s="11">
        <v>780</v>
      </c>
      <c r="AE50" s="27">
        <v>780</v>
      </c>
      <c r="AF50" s="26">
        <v>560</v>
      </c>
      <c r="AG50" s="11">
        <v>560</v>
      </c>
      <c r="AH50" s="11">
        <v>560</v>
      </c>
      <c r="AI50" s="11">
        <v>560</v>
      </c>
      <c r="AJ50" s="11">
        <v>560</v>
      </c>
      <c r="AK50" s="11">
        <v>560</v>
      </c>
      <c r="AL50" s="11">
        <v>560</v>
      </c>
      <c r="AM50" s="11">
        <v>560</v>
      </c>
      <c r="AN50" s="11">
        <v>560</v>
      </c>
      <c r="AO50" s="27">
        <v>560</v>
      </c>
      <c r="AP50" s="26">
        <v>560</v>
      </c>
      <c r="AQ50" s="11">
        <v>560</v>
      </c>
      <c r="AR50" s="11">
        <v>560</v>
      </c>
      <c r="AS50" s="11">
        <v>560</v>
      </c>
      <c r="AT50" s="11">
        <v>560</v>
      </c>
      <c r="AU50" s="11">
        <v>560</v>
      </c>
      <c r="AV50" s="11">
        <v>560</v>
      </c>
      <c r="AW50" s="11">
        <v>560</v>
      </c>
      <c r="AX50" s="11">
        <v>560</v>
      </c>
      <c r="AY50" s="27">
        <v>560</v>
      </c>
      <c r="AZ50" s="26">
        <v>560</v>
      </c>
      <c r="BA50" s="11">
        <v>560</v>
      </c>
      <c r="BB50" s="11">
        <v>560</v>
      </c>
      <c r="BC50" s="11">
        <v>560</v>
      </c>
      <c r="BD50" s="11">
        <v>560</v>
      </c>
      <c r="BE50" s="11">
        <v>560</v>
      </c>
      <c r="BF50" s="11">
        <v>560</v>
      </c>
      <c r="BG50" s="11">
        <v>560</v>
      </c>
      <c r="BH50" s="11">
        <v>560</v>
      </c>
      <c r="BI50" s="27">
        <v>560</v>
      </c>
      <c r="BJ50" s="26">
        <v>360</v>
      </c>
      <c r="BK50" s="11">
        <v>360</v>
      </c>
      <c r="BL50" s="11">
        <v>360</v>
      </c>
      <c r="BM50" s="11">
        <v>360</v>
      </c>
      <c r="BN50" s="11">
        <v>360</v>
      </c>
      <c r="BO50" s="11">
        <v>360</v>
      </c>
      <c r="BP50" s="11">
        <v>360</v>
      </c>
      <c r="BQ50" s="11">
        <v>360</v>
      </c>
      <c r="BR50" s="11">
        <v>360</v>
      </c>
      <c r="BS50" s="27">
        <v>360</v>
      </c>
      <c r="BT50" s="26">
        <v>360</v>
      </c>
      <c r="BU50" s="11">
        <v>360</v>
      </c>
      <c r="BV50" s="11">
        <v>360</v>
      </c>
      <c r="BW50" s="11">
        <v>360</v>
      </c>
      <c r="BX50" s="11">
        <v>360</v>
      </c>
      <c r="BY50" s="11">
        <v>360</v>
      </c>
      <c r="BZ50" s="11">
        <v>360</v>
      </c>
      <c r="CA50" s="11">
        <v>360</v>
      </c>
      <c r="CB50" s="11">
        <v>360</v>
      </c>
      <c r="CC50" s="27">
        <v>360</v>
      </c>
      <c r="CD50" s="26">
        <v>360</v>
      </c>
      <c r="CE50" s="11">
        <v>360</v>
      </c>
      <c r="CF50" s="11">
        <v>360</v>
      </c>
      <c r="CG50" s="11">
        <v>360</v>
      </c>
      <c r="CH50" s="11">
        <v>360</v>
      </c>
      <c r="CI50" s="11">
        <v>360</v>
      </c>
      <c r="CJ50" s="11">
        <v>360</v>
      </c>
      <c r="CK50" s="11">
        <v>360</v>
      </c>
      <c r="CL50" s="11">
        <v>360</v>
      </c>
      <c r="CM50" s="27">
        <v>360</v>
      </c>
    </row>
    <row r="51" spans="1:91" x14ac:dyDescent="0.3">
      <c r="A51" s="44" t="str">
        <v>WxH - Packet Array  L</v>
      </c>
      <c r="B51" s="26">
        <v>3</v>
      </c>
      <c r="C51" s="11">
        <v>4</v>
      </c>
      <c r="D51" s="11">
        <v>2</v>
      </c>
      <c r="E51" s="11">
        <v>2</v>
      </c>
      <c r="F51" s="11">
        <v>2</v>
      </c>
      <c r="G51" s="11">
        <v>2</v>
      </c>
      <c r="H51" s="11">
        <v>6</v>
      </c>
      <c r="I51" s="11">
        <v>6</v>
      </c>
      <c r="J51" s="11">
        <v>5</v>
      </c>
      <c r="K51" s="27">
        <v>4</v>
      </c>
      <c r="L51" s="26">
        <v>2</v>
      </c>
      <c r="M51" s="11">
        <v>3</v>
      </c>
      <c r="N51" s="11">
        <v>1</v>
      </c>
      <c r="O51" s="11">
        <v>2</v>
      </c>
      <c r="P51" s="11">
        <v>1</v>
      </c>
      <c r="Q51" s="11">
        <v>1</v>
      </c>
      <c r="R51" s="11">
        <v>5</v>
      </c>
      <c r="S51" s="11">
        <v>5</v>
      </c>
      <c r="T51" s="11">
        <v>4</v>
      </c>
      <c r="U51" s="27">
        <v>3</v>
      </c>
      <c r="V51" s="26">
        <v>2</v>
      </c>
      <c r="W51" s="11">
        <v>3</v>
      </c>
      <c r="X51" s="11">
        <v>1</v>
      </c>
      <c r="Y51" s="11">
        <v>1</v>
      </c>
      <c r="Z51" s="11">
        <v>1</v>
      </c>
      <c r="AA51" s="11">
        <v>1</v>
      </c>
      <c r="AB51" s="11">
        <v>5</v>
      </c>
      <c r="AC51" s="11">
        <v>5</v>
      </c>
      <c r="AD51" s="11">
        <v>4</v>
      </c>
      <c r="AE51" s="27">
        <v>3</v>
      </c>
      <c r="AF51" s="26">
        <v>1</v>
      </c>
      <c r="AG51" s="11">
        <v>1</v>
      </c>
      <c r="AH51" s="11">
        <v>0</v>
      </c>
      <c r="AI51" s="11">
        <v>0</v>
      </c>
      <c r="AJ51" s="11">
        <v>0</v>
      </c>
      <c r="AK51" s="11">
        <v>0</v>
      </c>
      <c r="AL51" s="11">
        <v>2</v>
      </c>
      <c r="AM51" s="11">
        <v>2</v>
      </c>
      <c r="AN51" s="11">
        <v>2</v>
      </c>
      <c r="AO51" s="27">
        <v>1</v>
      </c>
      <c r="AP51" s="26">
        <v>1</v>
      </c>
      <c r="AQ51" s="11">
        <v>1</v>
      </c>
      <c r="AR51" s="11">
        <v>0</v>
      </c>
      <c r="AS51" s="11">
        <v>0</v>
      </c>
      <c r="AT51" s="11">
        <v>0</v>
      </c>
      <c r="AU51" s="11">
        <v>0</v>
      </c>
      <c r="AV51" s="11">
        <v>2</v>
      </c>
      <c r="AW51" s="11">
        <v>2</v>
      </c>
      <c r="AX51" s="11">
        <v>2</v>
      </c>
      <c r="AY51" s="27">
        <v>1</v>
      </c>
      <c r="AZ51" s="26">
        <v>1</v>
      </c>
      <c r="BA51" s="11">
        <v>1</v>
      </c>
      <c r="BB51" s="11">
        <v>0</v>
      </c>
      <c r="BC51" s="11">
        <v>0</v>
      </c>
      <c r="BD51" s="11">
        <v>0</v>
      </c>
      <c r="BE51" s="11">
        <v>0</v>
      </c>
      <c r="BF51" s="11">
        <v>2</v>
      </c>
      <c r="BG51" s="11">
        <v>2</v>
      </c>
      <c r="BH51" s="11">
        <v>2</v>
      </c>
      <c r="BI51" s="27">
        <v>1</v>
      </c>
      <c r="BJ51" s="26">
        <v>0</v>
      </c>
      <c r="BK51" s="11">
        <v>1</v>
      </c>
      <c r="BL51" s="11">
        <v>0</v>
      </c>
      <c r="BM51" s="11">
        <v>0</v>
      </c>
      <c r="BN51" s="11">
        <v>0</v>
      </c>
      <c r="BO51" s="11">
        <v>0</v>
      </c>
      <c r="BP51" s="11">
        <v>1</v>
      </c>
      <c r="BQ51" s="11">
        <v>1</v>
      </c>
      <c r="BR51" s="11">
        <v>1</v>
      </c>
      <c r="BS51" s="27">
        <v>1</v>
      </c>
      <c r="BT51" s="26">
        <v>0</v>
      </c>
      <c r="BU51" s="11">
        <v>1</v>
      </c>
      <c r="BV51" s="11">
        <v>0</v>
      </c>
      <c r="BW51" s="11">
        <v>0</v>
      </c>
      <c r="BX51" s="11">
        <v>0</v>
      </c>
      <c r="BY51" s="11">
        <v>0</v>
      </c>
      <c r="BZ51" s="11">
        <v>1</v>
      </c>
      <c r="CA51" s="11">
        <v>1</v>
      </c>
      <c r="CB51" s="11">
        <v>1</v>
      </c>
      <c r="CC51" s="27">
        <v>1</v>
      </c>
      <c r="CD51" s="26">
        <v>0</v>
      </c>
      <c r="CE51" s="11">
        <v>1</v>
      </c>
      <c r="CF51" s="11">
        <v>0</v>
      </c>
      <c r="CG51" s="11">
        <v>0</v>
      </c>
      <c r="CH51" s="11">
        <v>0</v>
      </c>
      <c r="CI51" s="11">
        <v>0</v>
      </c>
      <c r="CJ51" s="11">
        <v>1</v>
      </c>
      <c r="CK51" s="11">
        <v>1</v>
      </c>
      <c r="CL51" s="11">
        <v>1</v>
      </c>
      <c r="CM51" s="27">
        <v>1</v>
      </c>
    </row>
    <row r="52" spans="1:91" x14ac:dyDescent="0.3">
      <c r="A52" s="44" t="str">
        <v>WxH - Packet Array  W</v>
      </c>
      <c r="B52" s="26">
        <v>7</v>
      </c>
      <c r="C52" s="11">
        <v>4</v>
      </c>
      <c r="D52" s="11">
        <v>6</v>
      </c>
      <c r="E52" s="11">
        <v>9</v>
      </c>
      <c r="F52" s="11">
        <v>2</v>
      </c>
      <c r="G52" s="11">
        <v>5</v>
      </c>
      <c r="H52" s="11">
        <v>11</v>
      </c>
      <c r="I52" s="11">
        <v>11</v>
      </c>
      <c r="J52" s="11">
        <v>8</v>
      </c>
      <c r="K52" s="27">
        <v>8</v>
      </c>
      <c r="L52" s="26">
        <v>9</v>
      </c>
      <c r="M52" s="11">
        <v>6</v>
      </c>
      <c r="N52" s="11">
        <v>7</v>
      </c>
      <c r="O52" s="11">
        <v>11</v>
      </c>
      <c r="P52" s="11">
        <v>2</v>
      </c>
      <c r="Q52" s="11">
        <v>6</v>
      </c>
      <c r="R52" s="11">
        <v>14</v>
      </c>
      <c r="S52" s="11">
        <v>14</v>
      </c>
      <c r="T52" s="11">
        <v>10</v>
      </c>
      <c r="U52" s="27">
        <v>10</v>
      </c>
      <c r="V52" s="26">
        <v>8</v>
      </c>
      <c r="W52" s="11">
        <v>5</v>
      </c>
      <c r="X52" s="11">
        <v>6</v>
      </c>
      <c r="Y52" s="11">
        <v>10</v>
      </c>
      <c r="Z52" s="11">
        <v>2</v>
      </c>
      <c r="AA52" s="11">
        <v>6</v>
      </c>
      <c r="AB52" s="11">
        <v>13</v>
      </c>
      <c r="AC52" s="11">
        <v>13</v>
      </c>
      <c r="AD52" s="11">
        <v>9</v>
      </c>
      <c r="AE52" s="27">
        <v>9</v>
      </c>
      <c r="AF52" s="26">
        <v>1</v>
      </c>
      <c r="AG52" s="11">
        <v>0</v>
      </c>
      <c r="AH52" s="11">
        <v>1</v>
      </c>
      <c r="AI52" s="11">
        <v>1</v>
      </c>
      <c r="AJ52" s="11">
        <v>0</v>
      </c>
      <c r="AK52" s="11">
        <v>0</v>
      </c>
      <c r="AL52" s="11">
        <v>1</v>
      </c>
      <c r="AM52" s="11">
        <v>1</v>
      </c>
      <c r="AN52" s="11">
        <v>1</v>
      </c>
      <c r="AO52" s="27">
        <v>1</v>
      </c>
      <c r="AP52" s="26">
        <v>1</v>
      </c>
      <c r="AQ52" s="11">
        <v>1</v>
      </c>
      <c r="AR52" s="11">
        <v>1</v>
      </c>
      <c r="AS52" s="11">
        <v>2</v>
      </c>
      <c r="AT52" s="11">
        <v>0</v>
      </c>
      <c r="AU52" s="11">
        <v>1</v>
      </c>
      <c r="AV52" s="11">
        <v>2</v>
      </c>
      <c r="AW52" s="11">
        <v>2</v>
      </c>
      <c r="AX52" s="11">
        <v>2</v>
      </c>
      <c r="AY52" s="27">
        <v>2</v>
      </c>
      <c r="AZ52" s="26">
        <v>2</v>
      </c>
      <c r="BA52" s="11">
        <v>1</v>
      </c>
      <c r="BB52" s="11">
        <v>1</v>
      </c>
      <c r="BC52" s="11">
        <v>3</v>
      </c>
      <c r="BD52" s="11">
        <v>0</v>
      </c>
      <c r="BE52" s="11">
        <v>1</v>
      </c>
      <c r="BF52" s="11">
        <v>3</v>
      </c>
      <c r="BG52" s="11">
        <v>3</v>
      </c>
      <c r="BH52" s="11">
        <v>2</v>
      </c>
      <c r="BI52" s="27">
        <v>2</v>
      </c>
      <c r="BJ52" s="26">
        <v>1</v>
      </c>
      <c r="BK52" s="11">
        <v>0</v>
      </c>
      <c r="BL52" s="11">
        <v>1</v>
      </c>
      <c r="BM52" s="11">
        <v>1</v>
      </c>
      <c r="BN52" s="11">
        <v>0</v>
      </c>
      <c r="BO52" s="11">
        <v>0</v>
      </c>
      <c r="BP52" s="11">
        <v>1</v>
      </c>
      <c r="BQ52" s="11">
        <v>1</v>
      </c>
      <c r="BR52" s="11">
        <v>1</v>
      </c>
      <c r="BS52" s="27">
        <v>1</v>
      </c>
      <c r="BT52" s="26">
        <v>1</v>
      </c>
      <c r="BU52" s="11">
        <v>1</v>
      </c>
      <c r="BV52" s="11">
        <v>1</v>
      </c>
      <c r="BW52" s="11">
        <v>2</v>
      </c>
      <c r="BX52" s="11">
        <v>0</v>
      </c>
      <c r="BY52" s="11">
        <v>1</v>
      </c>
      <c r="BZ52" s="11">
        <v>2</v>
      </c>
      <c r="CA52" s="11">
        <v>2</v>
      </c>
      <c r="CB52" s="11">
        <v>2</v>
      </c>
      <c r="CC52" s="27">
        <v>2</v>
      </c>
      <c r="CD52" s="26">
        <v>2</v>
      </c>
      <c r="CE52" s="11">
        <v>1</v>
      </c>
      <c r="CF52" s="11">
        <v>1</v>
      </c>
      <c r="CG52" s="11">
        <v>3</v>
      </c>
      <c r="CH52" s="11">
        <v>0</v>
      </c>
      <c r="CI52" s="11">
        <v>1</v>
      </c>
      <c r="CJ52" s="11">
        <v>3</v>
      </c>
      <c r="CK52" s="11">
        <v>3</v>
      </c>
      <c r="CL52" s="11">
        <v>2</v>
      </c>
      <c r="CM52" s="27">
        <v>2</v>
      </c>
    </row>
    <row r="53" spans="1:91" x14ac:dyDescent="0.3">
      <c r="A53" s="44" t="str">
        <v>WxH - Packet Array  H</v>
      </c>
      <c r="B53" s="26">
        <v>1</v>
      </c>
      <c r="C53" s="11">
        <v>5</v>
      </c>
      <c r="D53" s="11">
        <v>5</v>
      </c>
      <c r="E53" s="11">
        <v>4</v>
      </c>
      <c r="F53" s="11">
        <v>6</v>
      </c>
      <c r="G53" s="11">
        <v>3</v>
      </c>
      <c r="H53" s="11">
        <v>2</v>
      </c>
      <c r="I53" s="11">
        <v>2</v>
      </c>
      <c r="J53" s="11">
        <v>4</v>
      </c>
      <c r="K53" s="27">
        <v>3</v>
      </c>
      <c r="L53" s="26">
        <v>1</v>
      </c>
      <c r="M53" s="11">
        <v>5</v>
      </c>
      <c r="N53" s="11">
        <v>5</v>
      </c>
      <c r="O53" s="11">
        <v>5</v>
      </c>
      <c r="P53" s="11">
        <v>7</v>
      </c>
      <c r="Q53" s="11">
        <v>3</v>
      </c>
      <c r="R53" s="11">
        <v>2</v>
      </c>
      <c r="S53" s="11">
        <v>2</v>
      </c>
      <c r="T53" s="11">
        <v>4</v>
      </c>
      <c r="U53" s="27">
        <v>3</v>
      </c>
      <c r="V53" s="26">
        <v>1</v>
      </c>
      <c r="W53" s="11">
        <v>4</v>
      </c>
      <c r="X53" s="11">
        <v>3</v>
      </c>
      <c r="Y53" s="11">
        <v>3</v>
      </c>
      <c r="Z53" s="11">
        <v>4</v>
      </c>
      <c r="AA53" s="11">
        <v>2</v>
      </c>
      <c r="AB53" s="11">
        <v>2</v>
      </c>
      <c r="AC53" s="11">
        <v>2</v>
      </c>
      <c r="AD53" s="11">
        <v>2</v>
      </c>
      <c r="AE53" s="27">
        <v>2</v>
      </c>
      <c r="AF53" s="26">
        <v>0</v>
      </c>
      <c r="AG53" s="11">
        <v>2</v>
      </c>
      <c r="AH53" s="11">
        <v>2</v>
      </c>
      <c r="AI53" s="11">
        <v>2</v>
      </c>
      <c r="AJ53" s="11">
        <v>3</v>
      </c>
      <c r="AK53" s="11">
        <v>1</v>
      </c>
      <c r="AL53" s="11">
        <v>1</v>
      </c>
      <c r="AM53" s="11">
        <v>1</v>
      </c>
      <c r="AN53" s="11">
        <v>2</v>
      </c>
      <c r="AO53" s="27">
        <v>1</v>
      </c>
      <c r="AP53" s="26">
        <v>0</v>
      </c>
      <c r="AQ53" s="11">
        <v>2</v>
      </c>
      <c r="AR53" s="11">
        <v>2</v>
      </c>
      <c r="AS53" s="11">
        <v>2</v>
      </c>
      <c r="AT53" s="11">
        <v>3</v>
      </c>
      <c r="AU53" s="11">
        <v>1</v>
      </c>
      <c r="AV53" s="11">
        <v>1</v>
      </c>
      <c r="AW53" s="11">
        <v>1</v>
      </c>
      <c r="AX53" s="11">
        <v>2</v>
      </c>
      <c r="AY53" s="27">
        <v>1</v>
      </c>
      <c r="AZ53" s="26">
        <v>0</v>
      </c>
      <c r="BA53" s="11">
        <v>2</v>
      </c>
      <c r="BB53" s="11">
        <v>2</v>
      </c>
      <c r="BC53" s="11">
        <v>2</v>
      </c>
      <c r="BD53" s="11">
        <v>3</v>
      </c>
      <c r="BE53" s="11">
        <v>1</v>
      </c>
      <c r="BF53" s="11">
        <v>1</v>
      </c>
      <c r="BG53" s="11">
        <v>1</v>
      </c>
      <c r="BH53" s="11">
        <v>2</v>
      </c>
      <c r="BI53" s="27">
        <v>1</v>
      </c>
      <c r="BJ53" s="26">
        <v>0</v>
      </c>
      <c r="BK53" s="11">
        <v>1</v>
      </c>
      <c r="BL53" s="11">
        <v>1</v>
      </c>
      <c r="BM53" s="11">
        <v>1</v>
      </c>
      <c r="BN53" s="11">
        <v>2</v>
      </c>
      <c r="BO53" s="11">
        <v>1</v>
      </c>
      <c r="BP53" s="11">
        <v>0</v>
      </c>
      <c r="BQ53" s="11">
        <v>0</v>
      </c>
      <c r="BR53" s="11">
        <v>1</v>
      </c>
      <c r="BS53" s="27">
        <v>1</v>
      </c>
      <c r="BT53" s="26">
        <v>0</v>
      </c>
      <c r="BU53" s="11">
        <v>1</v>
      </c>
      <c r="BV53" s="11">
        <v>1</v>
      </c>
      <c r="BW53" s="11">
        <v>1</v>
      </c>
      <c r="BX53" s="11">
        <v>2</v>
      </c>
      <c r="BY53" s="11">
        <v>1</v>
      </c>
      <c r="BZ53" s="11">
        <v>0</v>
      </c>
      <c r="CA53" s="11">
        <v>0</v>
      </c>
      <c r="CB53" s="11">
        <v>1</v>
      </c>
      <c r="CC53" s="27">
        <v>1</v>
      </c>
      <c r="CD53" s="26">
        <v>0</v>
      </c>
      <c r="CE53" s="11">
        <v>1</v>
      </c>
      <c r="CF53" s="11">
        <v>1</v>
      </c>
      <c r="CG53" s="11">
        <v>1</v>
      </c>
      <c r="CH53" s="11">
        <v>2</v>
      </c>
      <c r="CI53" s="11">
        <v>1</v>
      </c>
      <c r="CJ53" s="11">
        <v>0</v>
      </c>
      <c r="CK53" s="11">
        <v>0</v>
      </c>
      <c r="CL53" s="11">
        <v>1</v>
      </c>
      <c r="CM53" s="27">
        <v>1</v>
      </c>
    </row>
    <row r="54" spans="1:91" x14ac:dyDescent="0.3">
      <c r="A54" s="44" t="str">
        <v>WxH - Parts / Layer</v>
      </c>
      <c r="B54" s="26">
        <v>21</v>
      </c>
      <c r="C54" s="11">
        <v>16</v>
      </c>
      <c r="D54" s="11">
        <v>12</v>
      </c>
      <c r="E54" s="11">
        <v>18</v>
      </c>
      <c r="F54" s="11">
        <v>4</v>
      </c>
      <c r="G54" s="11">
        <v>10</v>
      </c>
      <c r="H54" s="11">
        <v>66</v>
      </c>
      <c r="I54" s="11">
        <v>66</v>
      </c>
      <c r="J54" s="11">
        <v>40</v>
      </c>
      <c r="K54" s="27">
        <v>32</v>
      </c>
      <c r="L54" s="26">
        <v>18</v>
      </c>
      <c r="M54" s="11">
        <v>18</v>
      </c>
      <c r="N54" s="11">
        <v>7</v>
      </c>
      <c r="O54" s="11">
        <v>22</v>
      </c>
      <c r="P54" s="11">
        <v>2</v>
      </c>
      <c r="Q54" s="11">
        <v>6</v>
      </c>
      <c r="R54" s="11">
        <v>70</v>
      </c>
      <c r="S54" s="11">
        <v>70</v>
      </c>
      <c r="T54" s="11">
        <v>40</v>
      </c>
      <c r="U54" s="27">
        <v>30</v>
      </c>
      <c r="V54" s="26">
        <v>16</v>
      </c>
      <c r="W54" s="11">
        <v>15</v>
      </c>
      <c r="X54" s="11">
        <v>6</v>
      </c>
      <c r="Y54" s="11">
        <v>10</v>
      </c>
      <c r="Z54" s="11">
        <v>2</v>
      </c>
      <c r="AA54" s="11">
        <v>6</v>
      </c>
      <c r="AB54" s="11">
        <v>65</v>
      </c>
      <c r="AC54" s="11">
        <v>65</v>
      </c>
      <c r="AD54" s="11">
        <v>36</v>
      </c>
      <c r="AE54" s="27">
        <v>27</v>
      </c>
      <c r="AF54" s="26">
        <v>1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2</v>
      </c>
      <c r="AM54" s="11">
        <v>2</v>
      </c>
      <c r="AN54" s="11">
        <v>2</v>
      </c>
      <c r="AO54" s="27">
        <v>1</v>
      </c>
      <c r="AP54" s="26">
        <v>1</v>
      </c>
      <c r="AQ54" s="11">
        <v>1</v>
      </c>
      <c r="AR54" s="11">
        <v>0</v>
      </c>
      <c r="AS54" s="11">
        <v>0</v>
      </c>
      <c r="AT54" s="11">
        <v>0</v>
      </c>
      <c r="AU54" s="11">
        <v>0</v>
      </c>
      <c r="AV54" s="11">
        <v>4</v>
      </c>
      <c r="AW54" s="11">
        <v>4</v>
      </c>
      <c r="AX54" s="11">
        <v>4</v>
      </c>
      <c r="AY54" s="27">
        <v>2</v>
      </c>
      <c r="AZ54" s="26">
        <v>2</v>
      </c>
      <c r="BA54" s="11">
        <v>1</v>
      </c>
      <c r="BB54" s="11">
        <v>0</v>
      </c>
      <c r="BC54" s="11">
        <v>0</v>
      </c>
      <c r="BD54" s="11">
        <v>0</v>
      </c>
      <c r="BE54" s="11">
        <v>0</v>
      </c>
      <c r="BF54" s="11">
        <v>6</v>
      </c>
      <c r="BG54" s="11">
        <v>6</v>
      </c>
      <c r="BH54" s="11">
        <v>4</v>
      </c>
      <c r="BI54" s="27">
        <v>2</v>
      </c>
      <c r="BJ54" s="26">
        <v>0</v>
      </c>
      <c r="BK54" s="11">
        <v>0</v>
      </c>
      <c r="BL54" s="11">
        <v>0</v>
      </c>
      <c r="BM54" s="11">
        <v>0</v>
      </c>
      <c r="BN54" s="11">
        <v>0</v>
      </c>
      <c r="BO54" s="11">
        <v>0</v>
      </c>
      <c r="BP54" s="11">
        <v>1</v>
      </c>
      <c r="BQ54" s="11">
        <v>1</v>
      </c>
      <c r="BR54" s="11">
        <v>1</v>
      </c>
      <c r="BS54" s="27">
        <v>1</v>
      </c>
      <c r="BT54" s="26">
        <v>0</v>
      </c>
      <c r="BU54" s="11">
        <v>1</v>
      </c>
      <c r="BV54" s="11">
        <v>0</v>
      </c>
      <c r="BW54" s="11">
        <v>0</v>
      </c>
      <c r="BX54" s="11">
        <v>0</v>
      </c>
      <c r="BY54" s="11">
        <v>0</v>
      </c>
      <c r="BZ54" s="11">
        <v>2</v>
      </c>
      <c r="CA54" s="11">
        <v>2</v>
      </c>
      <c r="CB54" s="11">
        <v>2</v>
      </c>
      <c r="CC54" s="27">
        <v>2</v>
      </c>
      <c r="CD54" s="26">
        <v>0</v>
      </c>
      <c r="CE54" s="11">
        <v>1</v>
      </c>
      <c r="CF54" s="11">
        <v>0</v>
      </c>
      <c r="CG54" s="11">
        <v>0</v>
      </c>
      <c r="CH54" s="11">
        <v>0</v>
      </c>
      <c r="CI54" s="11">
        <v>0</v>
      </c>
      <c r="CJ54" s="11">
        <v>3</v>
      </c>
      <c r="CK54" s="11">
        <v>3</v>
      </c>
      <c r="CL54" s="11">
        <v>2</v>
      </c>
      <c r="CM54" s="27">
        <v>2</v>
      </c>
    </row>
    <row r="55" spans="1:91" x14ac:dyDescent="0.3">
      <c r="A55" s="44" t="str">
        <v>WxH - Layers / GLT</v>
      </c>
      <c r="B55" s="26">
        <v>1</v>
      </c>
      <c r="C55" s="11">
        <v>5</v>
      </c>
      <c r="D55" s="11">
        <v>5</v>
      </c>
      <c r="E55" s="11">
        <v>4</v>
      </c>
      <c r="F55" s="11">
        <v>6</v>
      </c>
      <c r="G55" s="11">
        <v>3</v>
      </c>
      <c r="H55" s="11">
        <v>2</v>
      </c>
      <c r="I55" s="11">
        <v>2</v>
      </c>
      <c r="J55" s="11">
        <v>4</v>
      </c>
      <c r="K55" s="27">
        <v>3</v>
      </c>
      <c r="L55" s="26">
        <v>1</v>
      </c>
      <c r="M55" s="11">
        <v>5</v>
      </c>
      <c r="N55" s="11">
        <v>5</v>
      </c>
      <c r="O55" s="11">
        <v>5</v>
      </c>
      <c r="P55" s="11">
        <v>7</v>
      </c>
      <c r="Q55" s="11">
        <v>3</v>
      </c>
      <c r="R55" s="11">
        <v>2</v>
      </c>
      <c r="S55" s="11">
        <v>2</v>
      </c>
      <c r="T55" s="11">
        <v>4</v>
      </c>
      <c r="U55" s="27">
        <v>3</v>
      </c>
      <c r="V55" s="26">
        <v>1</v>
      </c>
      <c r="W55" s="11">
        <v>4</v>
      </c>
      <c r="X55" s="11">
        <v>3</v>
      </c>
      <c r="Y55" s="11">
        <v>3</v>
      </c>
      <c r="Z55" s="11">
        <v>4</v>
      </c>
      <c r="AA55" s="11">
        <v>2</v>
      </c>
      <c r="AB55" s="11">
        <v>2</v>
      </c>
      <c r="AC55" s="11">
        <v>2</v>
      </c>
      <c r="AD55" s="11">
        <v>2</v>
      </c>
      <c r="AE55" s="27">
        <v>2</v>
      </c>
      <c r="AF55" s="26">
        <v>0</v>
      </c>
      <c r="AG55" s="11">
        <v>2</v>
      </c>
      <c r="AH55" s="11">
        <v>2</v>
      </c>
      <c r="AI55" s="11">
        <v>2</v>
      </c>
      <c r="AJ55" s="11">
        <v>3</v>
      </c>
      <c r="AK55" s="11">
        <v>1</v>
      </c>
      <c r="AL55" s="11">
        <v>1</v>
      </c>
      <c r="AM55" s="11">
        <v>1</v>
      </c>
      <c r="AN55" s="11">
        <v>2</v>
      </c>
      <c r="AO55" s="27">
        <v>1</v>
      </c>
      <c r="AP55" s="26">
        <v>0</v>
      </c>
      <c r="AQ55" s="11">
        <v>2</v>
      </c>
      <c r="AR55" s="11">
        <v>2</v>
      </c>
      <c r="AS55" s="11">
        <v>2</v>
      </c>
      <c r="AT55" s="11">
        <v>3</v>
      </c>
      <c r="AU55" s="11">
        <v>1</v>
      </c>
      <c r="AV55" s="11">
        <v>1</v>
      </c>
      <c r="AW55" s="11">
        <v>1</v>
      </c>
      <c r="AX55" s="11">
        <v>2</v>
      </c>
      <c r="AY55" s="27">
        <v>1</v>
      </c>
      <c r="AZ55" s="26">
        <v>0</v>
      </c>
      <c r="BA55" s="11">
        <v>2</v>
      </c>
      <c r="BB55" s="11">
        <v>2</v>
      </c>
      <c r="BC55" s="11">
        <v>2</v>
      </c>
      <c r="BD55" s="11">
        <v>3</v>
      </c>
      <c r="BE55" s="11">
        <v>1</v>
      </c>
      <c r="BF55" s="11">
        <v>1</v>
      </c>
      <c r="BG55" s="11">
        <v>1</v>
      </c>
      <c r="BH55" s="11">
        <v>2</v>
      </c>
      <c r="BI55" s="27">
        <v>1</v>
      </c>
      <c r="BJ55" s="26">
        <v>0</v>
      </c>
      <c r="BK55" s="11">
        <v>1</v>
      </c>
      <c r="BL55" s="11">
        <v>1</v>
      </c>
      <c r="BM55" s="11">
        <v>1</v>
      </c>
      <c r="BN55" s="11">
        <v>2</v>
      </c>
      <c r="BO55" s="11">
        <v>1</v>
      </c>
      <c r="BP55" s="11">
        <v>0</v>
      </c>
      <c r="BQ55" s="11">
        <v>0</v>
      </c>
      <c r="BR55" s="11">
        <v>1</v>
      </c>
      <c r="BS55" s="27">
        <v>1</v>
      </c>
      <c r="BT55" s="26">
        <v>0</v>
      </c>
      <c r="BU55" s="11">
        <v>1</v>
      </c>
      <c r="BV55" s="11">
        <v>1</v>
      </c>
      <c r="BW55" s="11">
        <v>1</v>
      </c>
      <c r="BX55" s="11">
        <v>2</v>
      </c>
      <c r="BY55" s="11">
        <v>1</v>
      </c>
      <c r="BZ55" s="11">
        <v>0</v>
      </c>
      <c r="CA55" s="11">
        <v>0</v>
      </c>
      <c r="CB55" s="11">
        <v>1</v>
      </c>
      <c r="CC55" s="27">
        <v>1</v>
      </c>
      <c r="CD55" s="26">
        <v>0</v>
      </c>
      <c r="CE55" s="11">
        <v>1</v>
      </c>
      <c r="CF55" s="11">
        <v>1</v>
      </c>
      <c r="CG55" s="11">
        <v>1</v>
      </c>
      <c r="CH55" s="11">
        <v>2</v>
      </c>
      <c r="CI55" s="11">
        <v>1</v>
      </c>
      <c r="CJ55" s="11">
        <v>0</v>
      </c>
      <c r="CK55" s="11">
        <v>0</v>
      </c>
      <c r="CL55" s="11">
        <v>1</v>
      </c>
      <c r="CM55" s="27">
        <v>1</v>
      </c>
    </row>
    <row r="56" spans="1:91" x14ac:dyDescent="0.3">
      <c r="A56" s="46" t="str">
        <v>WxH - Parts / GLT</v>
      </c>
      <c r="B56" s="34">
        <v>21</v>
      </c>
      <c r="C56" s="35">
        <v>80</v>
      </c>
      <c r="D56" s="35">
        <v>60</v>
      </c>
      <c r="E56" s="35">
        <v>72</v>
      </c>
      <c r="F56" s="35">
        <v>24</v>
      </c>
      <c r="G56" s="35">
        <v>30</v>
      </c>
      <c r="H56" s="35">
        <v>132</v>
      </c>
      <c r="I56" s="35">
        <v>132</v>
      </c>
      <c r="J56" s="35">
        <v>160</v>
      </c>
      <c r="K56" s="36">
        <v>96</v>
      </c>
      <c r="L56" s="34">
        <v>18</v>
      </c>
      <c r="M56" s="35">
        <v>90</v>
      </c>
      <c r="N56" s="35">
        <v>35</v>
      </c>
      <c r="O56" s="35">
        <v>110</v>
      </c>
      <c r="P56" s="35">
        <v>14</v>
      </c>
      <c r="Q56" s="35">
        <v>18</v>
      </c>
      <c r="R56" s="35">
        <v>140</v>
      </c>
      <c r="S56" s="35">
        <v>140</v>
      </c>
      <c r="T56" s="35">
        <v>160</v>
      </c>
      <c r="U56" s="36">
        <v>90</v>
      </c>
      <c r="V56" s="34">
        <v>16</v>
      </c>
      <c r="W56" s="35">
        <v>60</v>
      </c>
      <c r="X56" s="35">
        <v>18</v>
      </c>
      <c r="Y56" s="35">
        <v>30</v>
      </c>
      <c r="Z56" s="35">
        <v>8</v>
      </c>
      <c r="AA56" s="35">
        <v>12</v>
      </c>
      <c r="AB56" s="35">
        <v>130</v>
      </c>
      <c r="AC56" s="35">
        <v>130</v>
      </c>
      <c r="AD56" s="35">
        <v>72</v>
      </c>
      <c r="AE56" s="36">
        <v>54</v>
      </c>
      <c r="AF56" s="34">
        <v>0</v>
      </c>
      <c r="AG56" s="35">
        <v>0</v>
      </c>
      <c r="AH56" s="35">
        <v>0</v>
      </c>
      <c r="AI56" s="35">
        <v>0</v>
      </c>
      <c r="AJ56" s="35">
        <v>0</v>
      </c>
      <c r="AK56" s="35">
        <v>0</v>
      </c>
      <c r="AL56" s="35">
        <v>2</v>
      </c>
      <c r="AM56" s="35">
        <v>2</v>
      </c>
      <c r="AN56" s="35">
        <v>4</v>
      </c>
      <c r="AO56" s="36">
        <v>1</v>
      </c>
      <c r="AP56" s="34">
        <v>0</v>
      </c>
      <c r="AQ56" s="35">
        <v>2</v>
      </c>
      <c r="AR56" s="35">
        <v>0</v>
      </c>
      <c r="AS56" s="35">
        <v>0</v>
      </c>
      <c r="AT56" s="35">
        <v>0</v>
      </c>
      <c r="AU56" s="35">
        <v>0</v>
      </c>
      <c r="AV56" s="35">
        <v>4</v>
      </c>
      <c r="AW56" s="35">
        <v>4</v>
      </c>
      <c r="AX56" s="35">
        <v>8</v>
      </c>
      <c r="AY56" s="36">
        <v>2</v>
      </c>
      <c r="AZ56" s="34">
        <v>0</v>
      </c>
      <c r="BA56" s="35">
        <v>2</v>
      </c>
      <c r="BB56" s="35">
        <v>0</v>
      </c>
      <c r="BC56" s="35">
        <v>0</v>
      </c>
      <c r="BD56" s="35">
        <v>0</v>
      </c>
      <c r="BE56" s="35">
        <v>0</v>
      </c>
      <c r="BF56" s="35">
        <v>6</v>
      </c>
      <c r="BG56" s="35">
        <v>6</v>
      </c>
      <c r="BH56" s="35">
        <v>8</v>
      </c>
      <c r="BI56" s="36">
        <v>2</v>
      </c>
      <c r="BJ56" s="34">
        <v>0</v>
      </c>
      <c r="BK56" s="35">
        <v>0</v>
      </c>
      <c r="BL56" s="35">
        <v>0</v>
      </c>
      <c r="BM56" s="35">
        <v>0</v>
      </c>
      <c r="BN56" s="35">
        <v>0</v>
      </c>
      <c r="BO56" s="35">
        <v>0</v>
      </c>
      <c r="BP56" s="35">
        <v>0</v>
      </c>
      <c r="BQ56" s="35">
        <v>0</v>
      </c>
      <c r="BR56" s="35">
        <v>1</v>
      </c>
      <c r="BS56" s="36">
        <v>1</v>
      </c>
      <c r="BT56" s="34">
        <v>0</v>
      </c>
      <c r="BU56" s="35">
        <v>1</v>
      </c>
      <c r="BV56" s="35">
        <v>0</v>
      </c>
      <c r="BW56" s="35">
        <v>0</v>
      </c>
      <c r="BX56" s="35">
        <v>0</v>
      </c>
      <c r="BY56" s="35">
        <v>0</v>
      </c>
      <c r="BZ56" s="35">
        <v>0</v>
      </c>
      <c r="CA56" s="35">
        <v>0</v>
      </c>
      <c r="CB56" s="35">
        <v>2</v>
      </c>
      <c r="CC56" s="36">
        <v>2</v>
      </c>
      <c r="CD56" s="34">
        <v>0</v>
      </c>
      <c r="CE56" s="35">
        <v>1</v>
      </c>
      <c r="CF56" s="35">
        <v>0</v>
      </c>
      <c r="CG56" s="35">
        <v>0</v>
      </c>
      <c r="CH56" s="35">
        <v>0</v>
      </c>
      <c r="CI56" s="35">
        <v>0</v>
      </c>
      <c r="CJ56" s="35">
        <v>0</v>
      </c>
      <c r="CK56" s="35">
        <v>0</v>
      </c>
      <c r="CL56" s="35">
        <v>2</v>
      </c>
      <c r="CM56" s="36">
        <v>2</v>
      </c>
    </row>
    <row r="57" spans="1:91" x14ac:dyDescent="0.3">
      <c r="A57" s="44" t="str">
        <v>HxW - GLT Size ID(mm)</v>
      </c>
      <c r="B57" s="26">
        <v>1120</v>
      </c>
      <c r="C57" s="11">
        <v>1120</v>
      </c>
      <c r="D57" s="11">
        <v>1120</v>
      </c>
      <c r="E57" s="11">
        <v>1120</v>
      </c>
      <c r="F57" s="11">
        <v>1120</v>
      </c>
      <c r="G57" s="11">
        <v>1120</v>
      </c>
      <c r="H57" s="11">
        <v>1120</v>
      </c>
      <c r="I57" s="11">
        <v>1120</v>
      </c>
      <c r="J57" s="11">
        <v>1120</v>
      </c>
      <c r="K57" s="27">
        <v>1120</v>
      </c>
      <c r="L57" s="26">
        <v>1155</v>
      </c>
      <c r="M57" s="11">
        <v>1155</v>
      </c>
      <c r="N57" s="11">
        <v>1155</v>
      </c>
      <c r="O57" s="11">
        <v>1155</v>
      </c>
      <c r="P57" s="11">
        <v>1155</v>
      </c>
      <c r="Q57" s="11">
        <v>1155</v>
      </c>
      <c r="R57" s="11">
        <v>1155</v>
      </c>
      <c r="S57" s="11">
        <v>1155</v>
      </c>
      <c r="T57" s="11">
        <v>1155</v>
      </c>
      <c r="U57" s="27">
        <v>1155</v>
      </c>
      <c r="V57" s="26">
        <v>780</v>
      </c>
      <c r="W57" s="11">
        <v>780</v>
      </c>
      <c r="X57" s="11">
        <v>780</v>
      </c>
      <c r="Y57" s="11">
        <v>780</v>
      </c>
      <c r="Z57" s="11">
        <v>780</v>
      </c>
      <c r="AA57" s="11">
        <v>780</v>
      </c>
      <c r="AB57" s="11">
        <v>780</v>
      </c>
      <c r="AC57" s="11">
        <v>780</v>
      </c>
      <c r="AD57" s="11">
        <v>780</v>
      </c>
      <c r="AE57" s="27">
        <v>780</v>
      </c>
      <c r="AF57" s="26">
        <v>560</v>
      </c>
      <c r="AG57" s="11">
        <v>560</v>
      </c>
      <c r="AH57" s="11">
        <v>560</v>
      </c>
      <c r="AI57" s="11">
        <v>560</v>
      </c>
      <c r="AJ57" s="11">
        <v>560</v>
      </c>
      <c r="AK57" s="11">
        <v>560</v>
      </c>
      <c r="AL57" s="11">
        <v>560</v>
      </c>
      <c r="AM57" s="11">
        <v>560</v>
      </c>
      <c r="AN57" s="11">
        <v>560</v>
      </c>
      <c r="AO57" s="27">
        <v>560</v>
      </c>
      <c r="AP57" s="26">
        <v>560</v>
      </c>
      <c r="AQ57" s="11">
        <v>560</v>
      </c>
      <c r="AR57" s="11">
        <v>560</v>
      </c>
      <c r="AS57" s="11">
        <v>560</v>
      </c>
      <c r="AT57" s="11">
        <v>560</v>
      </c>
      <c r="AU57" s="11">
        <v>560</v>
      </c>
      <c r="AV57" s="11">
        <v>560</v>
      </c>
      <c r="AW57" s="11">
        <v>560</v>
      </c>
      <c r="AX57" s="11">
        <v>560</v>
      </c>
      <c r="AY57" s="27">
        <v>560</v>
      </c>
      <c r="AZ57" s="26">
        <v>560</v>
      </c>
      <c r="BA57" s="11">
        <v>560</v>
      </c>
      <c r="BB57" s="11">
        <v>560</v>
      </c>
      <c r="BC57" s="11">
        <v>560</v>
      </c>
      <c r="BD57" s="11">
        <v>560</v>
      </c>
      <c r="BE57" s="11">
        <v>560</v>
      </c>
      <c r="BF57" s="11">
        <v>560</v>
      </c>
      <c r="BG57" s="11">
        <v>560</v>
      </c>
      <c r="BH57" s="11">
        <v>560</v>
      </c>
      <c r="BI57" s="27">
        <v>560</v>
      </c>
      <c r="BJ57" s="26">
        <v>360</v>
      </c>
      <c r="BK57" s="11">
        <v>360</v>
      </c>
      <c r="BL57" s="11">
        <v>360</v>
      </c>
      <c r="BM57" s="11">
        <v>360</v>
      </c>
      <c r="BN57" s="11">
        <v>360</v>
      </c>
      <c r="BO57" s="11">
        <v>360</v>
      </c>
      <c r="BP57" s="11">
        <v>360</v>
      </c>
      <c r="BQ57" s="11">
        <v>360</v>
      </c>
      <c r="BR57" s="11">
        <v>360</v>
      </c>
      <c r="BS57" s="27">
        <v>360</v>
      </c>
      <c r="BT57" s="26">
        <v>360</v>
      </c>
      <c r="BU57" s="11">
        <v>360</v>
      </c>
      <c r="BV57" s="11">
        <v>360</v>
      </c>
      <c r="BW57" s="11">
        <v>360</v>
      </c>
      <c r="BX57" s="11">
        <v>360</v>
      </c>
      <c r="BY57" s="11">
        <v>360</v>
      </c>
      <c r="BZ57" s="11">
        <v>360</v>
      </c>
      <c r="CA57" s="11">
        <v>360</v>
      </c>
      <c r="CB57" s="11">
        <v>360</v>
      </c>
      <c r="CC57" s="27">
        <v>360</v>
      </c>
      <c r="CD57" s="26">
        <v>360</v>
      </c>
      <c r="CE57" s="11">
        <v>360</v>
      </c>
      <c r="CF57" s="11">
        <v>360</v>
      </c>
      <c r="CG57" s="11">
        <v>360</v>
      </c>
      <c r="CH57" s="11">
        <v>360</v>
      </c>
      <c r="CI57" s="11">
        <v>360</v>
      </c>
      <c r="CJ57" s="11">
        <v>360</v>
      </c>
      <c r="CK57" s="11">
        <v>360</v>
      </c>
      <c r="CL57" s="11">
        <v>360</v>
      </c>
      <c r="CM57" s="27">
        <v>360</v>
      </c>
    </row>
    <row r="58" spans="1:91" x14ac:dyDescent="0.3">
      <c r="A58" s="44" t="str">
        <v>HxW - GLT Size ID(mm)</v>
      </c>
      <c r="B58" s="26">
        <v>640</v>
      </c>
      <c r="C58" s="11">
        <v>640</v>
      </c>
      <c r="D58" s="11">
        <v>640</v>
      </c>
      <c r="E58" s="11">
        <v>640</v>
      </c>
      <c r="F58" s="11">
        <v>640</v>
      </c>
      <c r="G58" s="11">
        <v>640</v>
      </c>
      <c r="H58" s="11">
        <v>640</v>
      </c>
      <c r="I58" s="11">
        <v>640</v>
      </c>
      <c r="J58" s="11">
        <v>640</v>
      </c>
      <c r="K58" s="27">
        <v>640</v>
      </c>
      <c r="L58" s="26">
        <v>780</v>
      </c>
      <c r="M58" s="11">
        <v>780</v>
      </c>
      <c r="N58" s="11">
        <v>780</v>
      </c>
      <c r="O58" s="11">
        <v>780</v>
      </c>
      <c r="P58" s="11">
        <v>780</v>
      </c>
      <c r="Q58" s="11">
        <v>780</v>
      </c>
      <c r="R58" s="11">
        <v>780</v>
      </c>
      <c r="S58" s="11">
        <v>780</v>
      </c>
      <c r="T58" s="11">
        <v>780</v>
      </c>
      <c r="U58" s="27">
        <v>780</v>
      </c>
      <c r="V58" s="26">
        <v>720</v>
      </c>
      <c r="W58" s="11">
        <v>720</v>
      </c>
      <c r="X58" s="11">
        <v>720</v>
      </c>
      <c r="Y58" s="11">
        <v>720</v>
      </c>
      <c r="Z58" s="11">
        <v>720</v>
      </c>
      <c r="AA58" s="11">
        <v>720</v>
      </c>
      <c r="AB58" s="11">
        <v>720</v>
      </c>
      <c r="AC58" s="11">
        <v>720</v>
      </c>
      <c r="AD58" s="11">
        <v>720</v>
      </c>
      <c r="AE58" s="27">
        <v>720</v>
      </c>
      <c r="AF58" s="26">
        <v>105</v>
      </c>
      <c r="AG58" s="11">
        <v>105</v>
      </c>
      <c r="AH58" s="11">
        <v>105</v>
      </c>
      <c r="AI58" s="11">
        <v>105</v>
      </c>
      <c r="AJ58" s="11">
        <v>105</v>
      </c>
      <c r="AK58" s="11">
        <v>105</v>
      </c>
      <c r="AL58" s="11">
        <v>105</v>
      </c>
      <c r="AM58" s="11">
        <v>105</v>
      </c>
      <c r="AN58" s="11">
        <v>105</v>
      </c>
      <c r="AO58" s="27">
        <v>105</v>
      </c>
      <c r="AP58" s="26">
        <v>155</v>
      </c>
      <c r="AQ58" s="11">
        <v>155</v>
      </c>
      <c r="AR58" s="11">
        <v>155</v>
      </c>
      <c r="AS58" s="11">
        <v>155</v>
      </c>
      <c r="AT58" s="11">
        <v>155</v>
      </c>
      <c r="AU58" s="11">
        <v>155</v>
      </c>
      <c r="AV58" s="11">
        <v>155</v>
      </c>
      <c r="AW58" s="11">
        <v>155</v>
      </c>
      <c r="AX58" s="11">
        <v>155</v>
      </c>
      <c r="AY58" s="27">
        <v>155</v>
      </c>
      <c r="AZ58" s="26">
        <v>205</v>
      </c>
      <c r="BA58" s="11">
        <v>205</v>
      </c>
      <c r="BB58" s="11">
        <v>205</v>
      </c>
      <c r="BC58" s="11">
        <v>205</v>
      </c>
      <c r="BD58" s="11">
        <v>205</v>
      </c>
      <c r="BE58" s="11">
        <v>205</v>
      </c>
      <c r="BF58" s="11">
        <v>205</v>
      </c>
      <c r="BG58" s="11">
        <v>205</v>
      </c>
      <c r="BH58" s="11">
        <v>205</v>
      </c>
      <c r="BI58" s="27">
        <v>205</v>
      </c>
      <c r="BJ58" s="26">
        <v>105</v>
      </c>
      <c r="BK58" s="11">
        <v>105</v>
      </c>
      <c r="BL58" s="11">
        <v>105</v>
      </c>
      <c r="BM58" s="11">
        <v>105</v>
      </c>
      <c r="BN58" s="11">
        <v>105</v>
      </c>
      <c r="BO58" s="11">
        <v>105</v>
      </c>
      <c r="BP58" s="11">
        <v>105</v>
      </c>
      <c r="BQ58" s="11">
        <v>105</v>
      </c>
      <c r="BR58" s="11">
        <v>105</v>
      </c>
      <c r="BS58" s="27">
        <v>105</v>
      </c>
      <c r="BT58" s="26">
        <v>155</v>
      </c>
      <c r="BU58" s="11">
        <v>155</v>
      </c>
      <c r="BV58" s="11">
        <v>155</v>
      </c>
      <c r="BW58" s="11">
        <v>155</v>
      </c>
      <c r="BX58" s="11">
        <v>155</v>
      </c>
      <c r="BY58" s="11">
        <v>155</v>
      </c>
      <c r="BZ58" s="11">
        <v>155</v>
      </c>
      <c r="CA58" s="11">
        <v>155</v>
      </c>
      <c r="CB58" s="11">
        <v>155</v>
      </c>
      <c r="CC58" s="27">
        <v>155</v>
      </c>
      <c r="CD58" s="26">
        <v>205</v>
      </c>
      <c r="CE58" s="11">
        <v>205</v>
      </c>
      <c r="CF58" s="11">
        <v>205</v>
      </c>
      <c r="CG58" s="11">
        <v>205</v>
      </c>
      <c r="CH58" s="11">
        <v>205</v>
      </c>
      <c r="CI58" s="11">
        <v>205</v>
      </c>
      <c r="CJ58" s="11">
        <v>205</v>
      </c>
      <c r="CK58" s="11">
        <v>205</v>
      </c>
      <c r="CL58" s="11">
        <v>205</v>
      </c>
      <c r="CM58" s="27">
        <v>205</v>
      </c>
    </row>
    <row r="59" spans="1:91" x14ac:dyDescent="0.3">
      <c r="A59" s="44" t="str">
        <v>HxW - GLT Size ID(mm)</v>
      </c>
      <c r="B59" s="26">
        <v>920</v>
      </c>
      <c r="C59" s="11">
        <v>920</v>
      </c>
      <c r="D59" s="11">
        <v>920</v>
      </c>
      <c r="E59" s="11">
        <v>920</v>
      </c>
      <c r="F59" s="11">
        <v>920</v>
      </c>
      <c r="G59" s="11">
        <v>920</v>
      </c>
      <c r="H59" s="11">
        <v>920</v>
      </c>
      <c r="I59" s="11">
        <v>920</v>
      </c>
      <c r="J59" s="11">
        <v>920</v>
      </c>
      <c r="K59" s="27">
        <v>920</v>
      </c>
      <c r="L59" s="26">
        <v>755</v>
      </c>
      <c r="M59" s="11">
        <v>755</v>
      </c>
      <c r="N59" s="11">
        <v>755</v>
      </c>
      <c r="O59" s="11">
        <v>755</v>
      </c>
      <c r="P59" s="11">
        <v>755</v>
      </c>
      <c r="Q59" s="11">
        <v>755</v>
      </c>
      <c r="R59" s="11">
        <v>755</v>
      </c>
      <c r="S59" s="11">
        <v>755</v>
      </c>
      <c r="T59" s="11">
        <v>755</v>
      </c>
      <c r="U59" s="27">
        <v>755</v>
      </c>
      <c r="V59" s="26">
        <v>730</v>
      </c>
      <c r="W59" s="11">
        <v>730</v>
      </c>
      <c r="X59" s="11">
        <v>730</v>
      </c>
      <c r="Y59" s="11">
        <v>730</v>
      </c>
      <c r="Z59" s="11">
        <v>730</v>
      </c>
      <c r="AA59" s="11">
        <v>730</v>
      </c>
      <c r="AB59" s="11">
        <v>730</v>
      </c>
      <c r="AC59" s="11">
        <v>730</v>
      </c>
      <c r="AD59" s="11">
        <v>730</v>
      </c>
      <c r="AE59" s="27">
        <v>730</v>
      </c>
      <c r="AF59" s="26">
        <v>360</v>
      </c>
      <c r="AG59" s="11">
        <v>360</v>
      </c>
      <c r="AH59" s="11">
        <v>360</v>
      </c>
      <c r="AI59" s="11">
        <v>360</v>
      </c>
      <c r="AJ59" s="11">
        <v>360</v>
      </c>
      <c r="AK59" s="11">
        <v>360</v>
      </c>
      <c r="AL59" s="11">
        <v>360</v>
      </c>
      <c r="AM59" s="11">
        <v>360</v>
      </c>
      <c r="AN59" s="11">
        <v>360</v>
      </c>
      <c r="AO59" s="27">
        <v>360</v>
      </c>
      <c r="AP59" s="26">
        <v>360</v>
      </c>
      <c r="AQ59" s="11">
        <v>360</v>
      </c>
      <c r="AR59" s="11">
        <v>360</v>
      </c>
      <c r="AS59" s="11">
        <v>360</v>
      </c>
      <c r="AT59" s="11">
        <v>360</v>
      </c>
      <c r="AU59" s="11">
        <v>360</v>
      </c>
      <c r="AV59" s="11">
        <v>360</v>
      </c>
      <c r="AW59" s="11">
        <v>360</v>
      </c>
      <c r="AX59" s="11">
        <v>360</v>
      </c>
      <c r="AY59" s="27">
        <v>360</v>
      </c>
      <c r="AZ59" s="26">
        <v>360</v>
      </c>
      <c r="BA59" s="11">
        <v>360</v>
      </c>
      <c r="BB59" s="11">
        <v>360</v>
      </c>
      <c r="BC59" s="11">
        <v>360</v>
      </c>
      <c r="BD59" s="11">
        <v>360</v>
      </c>
      <c r="BE59" s="11">
        <v>360</v>
      </c>
      <c r="BF59" s="11">
        <v>360</v>
      </c>
      <c r="BG59" s="11">
        <v>360</v>
      </c>
      <c r="BH59" s="11">
        <v>360</v>
      </c>
      <c r="BI59" s="27">
        <v>360</v>
      </c>
      <c r="BJ59" s="26">
        <v>260</v>
      </c>
      <c r="BK59" s="11">
        <v>260</v>
      </c>
      <c r="BL59" s="11">
        <v>260</v>
      </c>
      <c r="BM59" s="11">
        <v>260</v>
      </c>
      <c r="BN59" s="11">
        <v>260</v>
      </c>
      <c r="BO59" s="11">
        <v>260</v>
      </c>
      <c r="BP59" s="11">
        <v>260</v>
      </c>
      <c r="BQ59" s="11">
        <v>260</v>
      </c>
      <c r="BR59" s="11">
        <v>260</v>
      </c>
      <c r="BS59" s="27">
        <v>260</v>
      </c>
      <c r="BT59" s="26">
        <v>260</v>
      </c>
      <c r="BU59" s="11">
        <v>260</v>
      </c>
      <c r="BV59" s="11">
        <v>260</v>
      </c>
      <c r="BW59" s="11">
        <v>260</v>
      </c>
      <c r="BX59" s="11">
        <v>260</v>
      </c>
      <c r="BY59" s="11">
        <v>260</v>
      </c>
      <c r="BZ59" s="11">
        <v>260</v>
      </c>
      <c r="CA59" s="11">
        <v>260</v>
      </c>
      <c r="CB59" s="11">
        <v>260</v>
      </c>
      <c r="CC59" s="27">
        <v>260</v>
      </c>
      <c r="CD59" s="26">
        <v>260</v>
      </c>
      <c r="CE59" s="11">
        <v>260</v>
      </c>
      <c r="CF59" s="11">
        <v>260</v>
      </c>
      <c r="CG59" s="11">
        <v>260</v>
      </c>
      <c r="CH59" s="11">
        <v>260</v>
      </c>
      <c r="CI59" s="11">
        <v>260</v>
      </c>
      <c r="CJ59" s="11">
        <v>260</v>
      </c>
      <c r="CK59" s="11">
        <v>260</v>
      </c>
      <c r="CL59" s="11">
        <v>260</v>
      </c>
      <c r="CM59" s="27">
        <v>260</v>
      </c>
    </row>
    <row r="60" spans="1:91" x14ac:dyDescent="0.3">
      <c r="A60" s="44" t="str">
        <v>HxW - Packet Array  L</v>
      </c>
      <c r="B60" s="26">
        <v>4</v>
      </c>
      <c r="C60" s="11">
        <v>4</v>
      </c>
      <c r="D60" s="11">
        <v>2</v>
      </c>
      <c r="E60" s="11">
        <v>3</v>
      </c>
      <c r="F60" s="11">
        <v>2</v>
      </c>
      <c r="G60" s="11">
        <v>2</v>
      </c>
      <c r="H60" s="11">
        <v>8</v>
      </c>
      <c r="I60" s="11">
        <v>8</v>
      </c>
      <c r="J60" s="11">
        <v>6</v>
      </c>
      <c r="K60" s="27">
        <v>4</v>
      </c>
      <c r="L60" s="26">
        <v>4</v>
      </c>
      <c r="M60" s="11">
        <v>5</v>
      </c>
      <c r="N60" s="11">
        <v>2</v>
      </c>
      <c r="O60" s="11">
        <v>3</v>
      </c>
      <c r="P60" s="11">
        <v>2</v>
      </c>
      <c r="Q60" s="11">
        <v>3</v>
      </c>
      <c r="R60" s="11">
        <v>8</v>
      </c>
      <c r="S60" s="11">
        <v>8</v>
      </c>
      <c r="T60" s="11">
        <v>6</v>
      </c>
      <c r="U60" s="27">
        <v>5</v>
      </c>
      <c r="V60" s="26">
        <v>2</v>
      </c>
      <c r="W60" s="11">
        <v>3</v>
      </c>
      <c r="X60" s="11">
        <v>1</v>
      </c>
      <c r="Y60" s="11">
        <v>2</v>
      </c>
      <c r="Z60" s="11">
        <v>1</v>
      </c>
      <c r="AA60" s="11">
        <v>2</v>
      </c>
      <c r="AB60" s="11">
        <v>5</v>
      </c>
      <c r="AC60" s="11">
        <v>5</v>
      </c>
      <c r="AD60" s="11">
        <v>4</v>
      </c>
      <c r="AE60" s="27">
        <v>3</v>
      </c>
      <c r="AF60" s="26">
        <v>2</v>
      </c>
      <c r="AG60" s="11">
        <v>2</v>
      </c>
      <c r="AH60" s="11">
        <v>1</v>
      </c>
      <c r="AI60" s="11">
        <v>1</v>
      </c>
      <c r="AJ60" s="11">
        <v>1</v>
      </c>
      <c r="AK60" s="11">
        <v>1</v>
      </c>
      <c r="AL60" s="11">
        <v>4</v>
      </c>
      <c r="AM60" s="11">
        <v>4</v>
      </c>
      <c r="AN60" s="11">
        <v>3</v>
      </c>
      <c r="AO60" s="27">
        <v>2</v>
      </c>
      <c r="AP60" s="26">
        <v>2</v>
      </c>
      <c r="AQ60" s="11">
        <v>2</v>
      </c>
      <c r="AR60" s="11">
        <v>1</v>
      </c>
      <c r="AS60" s="11">
        <v>1</v>
      </c>
      <c r="AT60" s="11">
        <v>1</v>
      </c>
      <c r="AU60" s="11">
        <v>1</v>
      </c>
      <c r="AV60" s="11">
        <v>4</v>
      </c>
      <c r="AW60" s="11">
        <v>4</v>
      </c>
      <c r="AX60" s="11">
        <v>3</v>
      </c>
      <c r="AY60" s="27">
        <v>2</v>
      </c>
      <c r="AZ60" s="26">
        <v>2</v>
      </c>
      <c r="BA60" s="11">
        <v>2</v>
      </c>
      <c r="BB60" s="11">
        <v>1</v>
      </c>
      <c r="BC60" s="11">
        <v>1</v>
      </c>
      <c r="BD60" s="11">
        <v>1</v>
      </c>
      <c r="BE60" s="11">
        <v>1</v>
      </c>
      <c r="BF60" s="11">
        <v>4</v>
      </c>
      <c r="BG60" s="11">
        <v>4</v>
      </c>
      <c r="BH60" s="11">
        <v>3</v>
      </c>
      <c r="BI60" s="27">
        <v>2</v>
      </c>
      <c r="BJ60" s="26">
        <v>1</v>
      </c>
      <c r="BK60" s="11">
        <v>1</v>
      </c>
      <c r="BL60" s="11">
        <v>0</v>
      </c>
      <c r="BM60" s="11">
        <v>0</v>
      </c>
      <c r="BN60" s="11">
        <v>0</v>
      </c>
      <c r="BO60" s="11">
        <v>0</v>
      </c>
      <c r="BP60" s="11">
        <v>2</v>
      </c>
      <c r="BQ60" s="11">
        <v>2</v>
      </c>
      <c r="BR60" s="11">
        <v>2</v>
      </c>
      <c r="BS60" s="27">
        <v>1</v>
      </c>
      <c r="BT60" s="26">
        <v>1</v>
      </c>
      <c r="BU60" s="11">
        <v>1</v>
      </c>
      <c r="BV60" s="11">
        <v>0</v>
      </c>
      <c r="BW60" s="11">
        <v>0</v>
      </c>
      <c r="BX60" s="11">
        <v>0</v>
      </c>
      <c r="BY60" s="11">
        <v>0</v>
      </c>
      <c r="BZ60" s="11">
        <v>2</v>
      </c>
      <c r="CA60" s="11">
        <v>2</v>
      </c>
      <c r="CB60" s="11">
        <v>2</v>
      </c>
      <c r="CC60" s="27">
        <v>1</v>
      </c>
      <c r="CD60" s="26">
        <v>1</v>
      </c>
      <c r="CE60" s="11">
        <v>1</v>
      </c>
      <c r="CF60" s="11">
        <v>0</v>
      </c>
      <c r="CG60" s="11">
        <v>0</v>
      </c>
      <c r="CH60" s="11">
        <v>0</v>
      </c>
      <c r="CI60" s="11">
        <v>0</v>
      </c>
      <c r="CJ60" s="11">
        <v>2</v>
      </c>
      <c r="CK60" s="11">
        <v>2</v>
      </c>
      <c r="CL60" s="11">
        <v>2</v>
      </c>
      <c r="CM60" s="27">
        <v>1</v>
      </c>
    </row>
    <row r="61" spans="1:91" x14ac:dyDescent="0.3">
      <c r="A61" s="44" t="str">
        <v>HxW - Packet Array  W</v>
      </c>
      <c r="B61" s="26">
        <v>7</v>
      </c>
      <c r="C61" s="11">
        <v>4</v>
      </c>
      <c r="D61" s="11">
        <v>6</v>
      </c>
      <c r="E61" s="11">
        <v>9</v>
      </c>
      <c r="F61" s="11">
        <v>2</v>
      </c>
      <c r="G61" s="11">
        <v>5</v>
      </c>
      <c r="H61" s="11">
        <v>11</v>
      </c>
      <c r="I61" s="11">
        <v>11</v>
      </c>
      <c r="J61" s="11">
        <v>8</v>
      </c>
      <c r="K61" s="27">
        <v>8</v>
      </c>
      <c r="L61" s="26">
        <v>9</v>
      </c>
      <c r="M61" s="11">
        <v>6</v>
      </c>
      <c r="N61" s="11">
        <v>7</v>
      </c>
      <c r="O61" s="11">
        <v>11</v>
      </c>
      <c r="P61" s="11">
        <v>2</v>
      </c>
      <c r="Q61" s="11">
        <v>6</v>
      </c>
      <c r="R61" s="11">
        <v>14</v>
      </c>
      <c r="S61" s="11">
        <v>14</v>
      </c>
      <c r="T61" s="11">
        <v>10</v>
      </c>
      <c r="U61" s="27">
        <v>10</v>
      </c>
      <c r="V61" s="26">
        <v>8</v>
      </c>
      <c r="W61" s="11">
        <v>5</v>
      </c>
      <c r="X61" s="11">
        <v>6</v>
      </c>
      <c r="Y61" s="11">
        <v>10</v>
      </c>
      <c r="Z61" s="11">
        <v>2</v>
      </c>
      <c r="AA61" s="11">
        <v>6</v>
      </c>
      <c r="AB61" s="11">
        <v>13</v>
      </c>
      <c r="AC61" s="11">
        <v>13</v>
      </c>
      <c r="AD61" s="11">
        <v>9</v>
      </c>
      <c r="AE61" s="27">
        <v>9</v>
      </c>
      <c r="AF61" s="26">
        <v>1</v>
      </c>
      <c r="AG61" s="11">
        <v>0</v>
      </c>
      <c r="AH61" s="11">
        <v>1</v>
      </c>
      <c r="AI61" s="11">
        <v>1</v>
      </c>
      <c r="AJ61" s="11">
        <v>0</v>
      </c>
      <c r="AK61" s="11">
        <v>0</v>
      </c>
      <c r="AL61" s="11">
        <v>1</v>
      </c>
      <c r="AM61" s="11">
        <v>1</v>
      </c>
      <c r="AN61" s="11">
        <v>1</v>
      </c>
      <c r="AO61" s="27">
        <v>1</v>
      </c>
      <c r="AP61" s="26">
        <v>1</v>
      </c>
      <c r="AQ61" s="11">
        <v>1</v>
      </c>
      <c r="AR61" s="11">
        <v>1</v>
      </c>
      <c r="AS61" s="11">
        <v>2</v>
      </c>
      <c r="AT61" s="11">
        <v>0</v>
      </c>
      <c r="AU61" s="11">
        <v>1</v>
      </c>
      <c r="AV61" s="11">
        <v>2</v>
      </c>
      <c r="AW61" s="11">
        <v>2</v>
      </c>
      <c r="AX61" s="11">
        <v>2</v>
      </c>
      <c r="AY61" s="27">
        <v>2</v>
      </c>
      <c r="AZ61" s="26">
        <v>2</v>
      </c>
      <c r="BA61" s="11">
        <v>1</v>
      </c>
      <c r="BB61" s="11">
        <v>1</v>
      </c>
      <c r="BC61" s="11">
        <v>3</v>
      </c>
      <c r="BD61" s="11">
        <v>0</v>
      </c>
      <c r="BE61" s="11">
        <v>1</v>
      </c>
      <c r="BF61" s="11">
        <v>3</v>
      </c>
      <c r="BG61" s="11">
        <v>3</v>
      </c>
      <c r="BH61" s="11">
        <v>2</v>
      </c>
      <c r="BI61" s="27">
        <v>2</v>
      </c>
      <c r="BJ61" s="26">
        <v>1</v>
      </c>
      <c r="BK61" s="11">
        <v>0</v>
      </c>
      <c r="BL61" s="11">
        <v>1</v>
      </c>
      <c r="BM61" s="11">
        <v>1</v>
      </c>
      <c r="BN61" s="11">
        <v>0</v>
      </c>
      <c r="BO61" s="11">
        <v>0</v>
      </c>
      <c r="BP61" s="11">
        <v>1</v>
      </c>
      <c r="BQ61" s="11">
        <v>1</v>
      </c>
      <c r="BR61" s="11">
        <v>1</v>
      </c>
      <c r="BS61" s="27">
        <v>1</v>
      </c>
      <c r="BT61" s="26">
        <v>1</v>
      </c>
      <c r="BU61" s="11">
        <v>1</v>
      </c>
      <c r="BV61" s="11">
        <v>1</v>
      </c>
      <c r="BW61" s="11">
        <v>2</v>
      </c>
      <c r="BX61" s="11">
        <v>0</v>
      </c>
      <c r="BY61" s="11">
        <v>1</v>
      </c>
      <c r="BZ61" s="11">
        <v>2</v>
      </c>
      <c r="CA61" s="11">
        <v>2</v>
      </c>
      <c r="CB61" s="11">
        <v>2</v>
      </c>
      <c r="CC61" s="27">
        <v>2</v>
      </c>
      <c r="CD61" s="26">
        <v>2</v>
      </c>
      <c r="CE61" s="11">
        <v>1</v>
      </c>
      <c r="CF61" s="11">
        <v>1</v>
      </c>
      <c r="CG61" s="11">
        <v>3</v>
      </c>
      <c r="CH61" s="11">
        <v>0</v>
      </c>
      <c r="CI61" s="11">
        <v>1</v>
      </c>
      <c r="CJ61" s="11">
        <v>3</v>
      </c>
      <c r="CK61" s="11">
        <v>3</v>
      </c>
      <c r="CL61" s="11">
        <v>2</v>
      </c>
      <c r="CM61" s="27">
        <v>2</v>
      </c>
    </row>
    <row r="62" spans="1:91" x14ac:dyDescent="0.3">
      <c r="A62" s="44" t="str">
        <v>HxW - Packet Array  H</v>
      </c>
      <c r="B62" s="26">
        <v>1</v>
      </c>
      <c r="C62" s="11">
        <v>4</v>
      </c>
      <c r="D62" s="11">
        <v>4</v>
      </c>
      <c r="E62" s="11">
        <v>4</v>
      </c>
      <c r="F62" s="11">
        <v>5</v>
      </c>
      <c r="G62" s="11">
        <v>3</v>
      </c>
      <c r="H62" s="11">
        <v>2</v>
      </c>
      <c r="I62" s="11">
        <v>2</v>
      </c>
      <c r="J62" s="11">
        <v>3</v>
      </c>
      <c r="K62" s="27">
        <v>2</v>
      </c>
      <c r="L62" s="26">
        <v>1</v>
      </c>
      <c r="M62" s="11">
        <v>3</v>
      </c>
      <c r="N62" s="11">
        <v>3</v>
      </c>
      <c r="O62" s="11">
        <v>3</v>
      </c>
      <c r="P62" s="11">
        <v>4</v>
      </c>
      <c r="Q62" s="11">
        <v>2</v>
      </c>
      <c r="R62" s="11">
        <v>1</v>
      </c>
      <c r="S62" s="11">
        <v>1</v>
      </c>
      <c r="T62" s="11">
        <v>2</v>
      </c>
      <c r="U62" s="27">
        <v>2</v>
      </c>
      <c r="V62" s="26">
        <v>1</v>
      </c>
      <c r="W62" s="11">
        <v>3</v>
      </c>
      <c r="X62" s="11">
        <v>3</v>
      </c>
      <c r="Y62" s="11">
        <v>3</v>
      </c>
      <c r="Z62" s="11">
        <v>4</v>
      </c>
      <c r="AA62" s="11">
        <v>2</v>
      </c>
      <c r="AB62" s="11">
        <v>1</v>
      </c>
      <c r="AC62" s="11">
        <v>1</v>
      </c>
      <c r="AD62" s="11">
        <v>2</v>
      </c>
      <c r="AE62" s="27">
        <v>2</v>
      </c>
      <c r="AF62" s="26">
        <v>0</v>
      </c>
      <c r="AG62" s="11">
        <v>1</v>
      </c>
      <c r="AH62" s="11">
        <v>1</v>
      </c>
      <c r="AI62" s="11">
        <v>1</v>
      </c>
      <c r="AJ62" s="11">
        <v>2</v>
      </c>
      <c r="AK62" s="11">
        <v>1</v>
      </c>
      <c r="AL62" s="11">
        <v>0</v>
      </c>
      <c r="AM62" s="11">
        <v>0</v>
      </c>
      <c r="AN62" s="11">
        <v>1</v>
      </c>
      <c r="AO62" s="27">
        <v>1</v>
      </c>
      <c r="AP62" s="26">
        <v>0</v>
      </c>
      <c r="AQ62" s="11">
        <v>1</v>
      </c>
      <c r="AR62" s="11">
        <v>1</v>
      </c>
      <c r="AS62" s="11">
        <v>1</v>
      </c>
      <c r="AT62" s="11">
        <v>2</v>
      </c>
      <c r="AU62" s="11">
        <v>1</v>
      </c>
      <c r="AV62" s="11">
        <v>0</v>
      </c>
      <c r="AW62" s="11">
        <v>0</v>
      </c>
      <c r="AX62" s="11">
        <v>1</v>
      </c>
      <c r="AY62" s="27">
        <v>1</v>
      </c>
      <c r="AZ62" s="26">
        <v>0</v>
      </c>
      <c r="BA62" s="11">
        <v>1</v>
      </c>
      <c r="BB62" s="11">
        <v>1</v>
      </c>
      <c r="BC62" s="11">
        <v>1</v>
      </c>
      <c r="BD62" s="11">
        <v>2</v>
      </c>
      <c r="BE62" s="11">
        <v>1</v>
      </c>
      <c r="BF62" s="11">
        <v>0</v>
      </c>
      <c r="BG62" s="11">
        <v>0</v>
      </c>
      <c r="BH62" s="11">
        <v>1</v>
      </c>
      <c r="BI62" s="27">
        <v>1</v>
      </c>
      <c r="BJ62" s="26">
        <v>0</v>
      </c>
      <c r="BK62" s="11">
        <v>1</v>
      </c>
      <c r="BL62" s="11">
        <v>1</v>
      </c>
      <c r="BM62" s="11">
        <v>1</v>
      </c>
      <c r="BN62" s="11">
        <v>1</v>
      </c>
      <c r="BO62" s="11">
        <v>0</v>
      </c>
      <c r="BP62" s="11">
        <v>0</v>
      </c>
      <c r="BQ62" s="11">
        <v>0</v>
      </c>
      <c r="BR62" s="11">
        <v>0</v>
      </c>
      <c r="BS62" s="27">
        <v>0</v>
      </c>
      <c r="BT62" s="26">
        <v>0</v>
      </c>
      <c r="BU62" s="11">
        <v>1</v>
      </c>
      <c r="BV62" s="11">
        <v>1</v>
      </c>
      <c r="BW62" s="11">
        <v>1</v>
      </c>
      <c r="BX62" s="11">
        <v>1</v>
      </c>
      <c r="BY62" s="11">
        <v>0</v>
      </c>
      <c r="BZ62" s="11">
        <v>0</v>
      </c>
      <c r="CA62" s="11">
        <v>0</v>
      </c>
      <c r="CB62" s="11">
        <v>0</v>
      </c>
      <c r="CC62" s="27">
        <v>0</v>
      </c>
      <c r="CD62" s="26">
        <v>0</v>
      </c>
      <c r="CE62" s="11">
        <v>1</v>
      </c>
      <c r="CF62" s="11">
        <v>1</v>
      </c>
      <c r="CG62" s="11">
        <v>1</v>
      </c>
      <c r="CH62" s="11">
        <v>1</v>
      </c>
      <c r="CI62" s="11">
        <v>0</v>
      </c>
      <c r="CJ62" s="11">
        <v>0</v>
      </c>
      <c r="CK62" s="11">
        <v>0</v>
      </c>
      <c r="CL62" s="11">
        <v>0</v>
      </c>
      <c r="CM62" s="27">
        <v>0</v>
      </c>
    </row>
    <row r="63" spans="1:91" x14ac:dyDescent="0.3">
      <c r="A63" s="44" t="str">
        <v>HxW - Parts / Layer</v>
      </c>
      <c r="B63" s="26">
        <v>28</v>
      </c>
      <c r="C63" s="11">
        <v>16</v>
      </c>
      <c r="D63" s="11">
        <v>12</v>
      </c>
      <c r="E63" s="11">
        <v>27</v>
      </c>
      <c r="F63" s="11">
        <v>4</v>
      </c>
      <c r="G63" s="11">
        <v>10</v>
      </c>
      <c r="H63" s="11">
        <v>88</v>
      </c>
      <c r="I63" s="11">
        <v>88</v>
      </c>
      <c r="J63" s="11">
        <v>48</v>
      </c>
      <c r="K63" s="27">
        <v>32</v>
      </c>
      <c r="L63" s="26">
        <v>36</v>
      </c>
      <c r="M63" s="11">
        <v>30</v>
      </c>
      <c r="N63" s="11">
        <v>14</v>
      </c>
      <c r="O63" s="11">
        <v>33</v>
      </c>
      <c r="P63" s="11">
        <v>4</v>
      </c>
      <c r="Q63" s="11">
        <v>18</v>
      </c>
      <c r="R63" s="11">
        <v>112</v>
      </c>
      <c r="S63" s="11">
        <v>112</v>
      </c>
      <c r="T63" s="11">
        <v>60</v>
      </c>
      <c r="U63" s="27">
        <v>50</v>
      </c>
      <c r="V63" s="26">
        <v>16</v>
      </c>
      <c r="W63" s="11">
        <v>15</v>
      </c>
      <c r="X63" s="11">
        <v>6</v>
      </c>
      <c r="Y63" s="11">
        <v>20</v>
      </c>
      <c r="Z63" s="11">
        <v>2</v>
      </c>
      <c r="AA63" s="11">
        <v>12</v>
      </c>
      <c r="AB63" s="11">
        <v>65</v>
      </c>
      <c r="AC63" s="11">
        <v>65</v>
      </c>
      <c r="AD63" s="11">
        <v>36</v>
      </c>
      <c r="AE63" s="27">
        <v>27</v>
      </c>
      <c r="AF63" s="26">
        <v>2</v>
      </c>
      <c r="AG63" s="11">
        <v>0</v>
      </c>
      <c r="AH63" s="11">
        <v>1</v>
      </c>
      <c r="AI63" s="11">
        <v>1</v>
      </c>
      <c r="AJ63" s="11">
        <v>0</v>
      </c>
      <c r="AK63" s="11">
        <v>0</v>
      </c>
      <c r="AL63" s="11">
        <v>4</v>
      </c>
      <c r="AM63" s="11">
        <v>4</v>
      </c>
      <c r="AN63" s="11">
        <v>3</v>
      </c>
      <c r="AO63" s="27">
        <v>2</v>
      </c>
      <c r="AP63" s="26">
        <v>2</v>
      </c>
      <c r="AQ63" s="11">
        <v>2</v>
      </c>
      <c r="AR63" s="11">
        <v>1</v>
      </c>
      <c r="AS63" s="11">
        <v>2</v>
      </c>
      <c r="AT63" s="11">
        <v>0</v>
      </c>
      <c r="AU63" s="11">
        <v>1</v>
      </c>
      <c r="AV63" s="11">
        <v>8</v>
      </c>
      <c r="AW63" s="11">
        <v>8</v>
      </c>
      <c r="AX63" s="11">
        <v>6</v>
      </c>
      <c r="AY63" s="27">
        <v>4</v>
      </c>
      <c r="AZ63" s="26">
        <v>4</v>
      </c>
      <c r="BA63" s="11">
        <v>2</v>
      </c>
      <c r="BB63" s="11">
        <v>1</v>
      </c>
      <c r="BC63" s="11">
        <v>3</v>
      </c>
      <c r="BD63" s="11">
        <v>0</v>
      </c>
      <c r="BE63" s="11">
        <v>1</v>
      </c>
      <c r="BF63" s="11">
        <v>12</v>
      </c>
      <c r="BG63" s="11">
        <v>12</v>
      </c>
      <c r="BH63" s="11">
        <v>6</v>
      </c>
      <c r="BI63" s="27">
        <v>4</v>
      </c>
      <c r="BJ63" s="26">
        <v>1</v>
      </c>
      <c r="BK63" s="11">
        <v>0</v>
      </c>
      <c r="BL63" s="11">
        <v>0</v>
      </c>
      <c r="BM63" s="11">
        <v>0</v>
      </c>
      <c r="BN63" s="11">
        <v>0</v>
      </c>
      <c r="BO63" s="11">
        <v>0</v>
      </c>
      <c r="BP63" s="11">
        <v>2</v>
      </c>
      <c r="BQ63" s="11">
        <v>2</v>
      </c>
      <c r="BR63" s="11">
        <v>2</v>
      </c>
      <c r="BS63" s="27">
        <v>1</v>
      </c>
      <c r="BT63" s="26">
        <v>1</v>
      </c>
      <c r="BU63" s="11">
        <v>1</v>
      </c>
      <c r="BV63" s="11">
        <v>0</v>
      </c>
      <c r="BW63" s="11">
        <v>0</v>
      </c>
      <c r="BX63" s="11">
        <v>0</v>
      </c>
      <c r="BY63" s="11">
        <v>0</v>
      </c>
      <c r="BZ63" s="11">
        <v>4</v>
      </c>
      <c r="CA63" s="11">
        <v>4</v>
      </c>
      <c r="CB63" s="11">
        <v>4</v>
      </c>
      <c r="CC63" s="27">
        <v>2</v>
      </c>
      <c r="CD63" s="26">
        <v>2</v>
      </c>
      <c r="CE63" s="11">
        <v>1</v>
      </c>
      <c r="CF63" s="11">
        <v>0</v>
      </c>
      <c r="CG63" s="11">
        <v>0</v>
      </c>
      <c r="CH63" s="11">
        <v>0</v>
      </c>
      <c r="CI63" s="11">
        <v>0</v>
      </c>
      <c r="CJ63" s="11">
        <v>6</v>
      </c>
      <c r="CK63" s="11">
        <v>6</v>
      </c>
      <c r="CL63" s="11">
        <v>4</v>
      </c>
      <c r="CM63" s="27">
        <v>2</v>
      </c>
    </row>
    <row r="64" spans="1:91" x14ac:dyDescent="0.3">
      <c r="A64" s="44" t="str">
        <v>HxW - Layers / GLT</v>
      </c>
      <c r="B64" s="26">
        <v>1</v>
      </c>
      <c r="C64" s="11">
        <v>4</v>
      </c>
      <c r="D64" s="11">
        <v>4</v>
      </c>
      <c r="E64" s="11">
        <v>4</v>
      </c>
      <c r="F64" s="11">
        <v>5</v>
      </c>
      <c r="G64" s="11">
        <v>3</v>
      </c>
      <c r="H64" s="11">
        <v>2</v>
      </c>
      <c r="I64" s="11">
        <v>2</v>
      </c>
      <c r="J64" s="11">
        <v>3</v>
      </c>
      <c r="K64" s="27">
        <v>2</v>
      </c>
      <c r="L64" s="26">
        <v>1</v>
      </c>
      <c r="M64" s="11">
        <v>3</v>
      </c>
      <c r="N64" s="11">
        <v>3</v>
      </c>
      <c r="O64" s="11">
        <v>3</v>
      </c>
      <c r="P64" s="11">
        <v>4</v>
      </c>
      <c r="Q64" s="11">
        <v>2</v>
      </c>
      <c r="R64" s="11">
        <v>1</v>
      </c>
      <c r="S64" s="11">
        <v>1</v>
      </c>
      <c r="T64" s="11">
        <v>2</v>
      </c>
      <c r="U64" s="27">
        <v>2</v>
      </c>
      <c r="V64" s="26">
        <v>1</v>
      </c>
      <c r="W64" s="11">
        <v>3</v>
      </c>
      <c r="X64" s="11">
        <v>3</v>
      </c>
      <c r="Y64" s="11">
        <v>3</v>
      </c>
      <c r="Z64" s="11">
        <v>4</v>
      </c>
      <c r="AA64" s="11">
        <v>2</v>
      </c>
      <c r="AB64" s="11">
        <v>1</v>
      </c>
      <c r="AC64" s="11">
        <v>1</v>
      </c>
      <c r="AD64" s="11">
        <v>2</v>
      </c>
      <c r="AE64" s="27">
        <v>2</v>
      </c>
      <c r="AF64" s="26">
        <v>0</v>
      </c>
      <c r="AG64" s="11">
        <v>1</v>
      </c>
      <c r="AH64" s="11">
        <v>1</v>
      </c>
      <c r="AI64" s="11">
        <v>1</v>
      </c>
      <c r="AJ64" s="11">
        <v>2</v>
      </c>
      <c r="AK64" s="11">
        <v>1</v>
      </c>
      <c r="AL64" s="11">
        <v>0</v>
      </c>
      <c r="AM64" s="11">
        <v>0</v>
      </c>
      <c r="AN64" s="11">
        <v>1</v>
      </c>
      <c r="AO64" s="27">
        <v>1</v>
      </c>
      <c r="AP64" s="26">
        <v>0</v>
      </c>
      <c r="AQ64" s="11">
        <v>1</v>
      </c>
      <c r="AR64" s="11">
        <v>1</v>
      </c>
      <c r="AS64" s="11">
        <v>1</v>
      </c>
      <c r="AT64" s="11">
        <v>2</v>
      </c>
      <c r="AU64" s="11">
        <v>1</v>
      </c>
      <c r="AV64" s="11">
        <v>0</v>
      </c>
      <c r="AW64" s="11">
        <v>0</v>
      </c>
      <c r="AX64" s="11">
        <v>1</v>
      </c>
      <c r="AY64" s="27">
        <v>1</v>
      </c>
      <c r="AZ64" s="26">
        <v>0</v>
      </c>
      <c r="BA64" s="11">
        <v>1</v>
      </c>
      <c r="BB64" s="11">
        <v>1</v>
      </c>
      <c r="BC64" s="11">
        <v>1</v>
      </c>
      <c r="BD64" s="11">
        <v>2</v>
      </c>
      <c r="BE64" s="11">
        <v>1</v>
      </c>
      <c r="BF64" s="11">
        <v>0</v>
      </c>
      <c r="BG64" s="11">
        <v>0</v>
      </c>
      <c r="BH64" s="11">
        <v>1</v>
      </c>
      <c r="BI64" s="27">
        <v>1</v>
      </c>
      <c r="BJ64" s="26">
        <v>0</v>
      </c>
      <c r="BK64" s="11">
        <v>1</v>
      </c>
      <c r="BL64" s="11">
        <v>1</v>
      </c>
      <c r="BM64" s="11">
        <v>1</v>
      </c>
      <c r="BN64" s="11">
        <v>1</v>
      </c>
      <c r="BO64" s="11">
        <v>0</v>
      </c>
      <c r="BP64" s="11">
        <v>0</v>
      </c>
      <c r="BQ64" s="11">
        <v>0</v>
      </c>
      <c r="BR64" s="11">
        <v>0</v>
      </c>
      <c r="BS64" s="27">
        <v>0</v>
      </c>
      <c r="BT64" s="26">
        <v>0</v>
      </c>
      <c r="BU64" s="11">
        <v>1</v>
      </c>
      <c r="BV64" s="11">
        <v>1</v>
      </c>
      <c r="BW64" s="11">
        <v>1</v>
      </c>
      <c r="BX64" s="11">
        <v>1</v>
      </c>
      <c r="BY64" s="11">
        <v>0</v>
      </c>
      <c r="BZ64" s="11">
        <v>0</v>
      </c>
      <c r="CA64" s="11">
        <v>0</v>
      </c>
      <c r="CB64" s="11">
        <v>0</v>
      </c>
      <c r="CC64" s="27">
        <v>0</v>
      </c>
      <c r="CD64" s="26">
        <v>0</v>
      </c>
      <c r="CE64" s="11">
        <v>1</v>
      </c>
      <c r="CF64" s="11">
        <v>1</v>
      </c>
      <c r="CG64" s="11">
        <v>1</v>
      </c>
      <c r="CH64" s="11">
        <v>1</v>
      </c>
      <c r="CI64" s="11">
        <v>0</v>
      </c>
      <c r="CJ64" s="11">
        <v>0</v>
      </c>
      <c r="CK64" s="11">
        <v>0</v>
      </c>
      <c r="CL64" s="11">
        <v>0</v>
      </c>
      <c r="CM64" s="27">
        <v>0</v>
      </c>
    </row>
    <row r="65" spans="1:91" ht="15" thickBot="1" x14ac:dyDescent="0.35">
      <c r="A65" s="47" t="str">
        <v>HxW - Parts / GLT</v>
      </c>
      <c r="B65" s="37">
        <v>28</v>
      </c>
      <c r="C65" s="38">
        <v>64</v>
      </c>
      <c r="D65" s="38">
        <v>48</v>
      </c>
      <c r="E65" s="38">
        <v>108</v>
      </c>
      <c r="F65" s="38">
        <v>20</v>
      </c>
      <c r="G65" s="38">
        <v>30</v>
      </c>
      <c r="H65" s="38">
        <v>176</v>
      </c>
      <c r="I65" s="38">
        <v>176</v>
      </c>
      <c r="J65" s="38">
        <v>144</v>
      </c>
      <c r="K65" s="39">
        <v>64</v>
      </c>
      <c r="L65" s="37">
        <v>36</v>
      </c>
      <c r="M65" s="38">
        <v>90</v>
      </c>
      <c r="N65" s="38">
        <v>42</v>
      </c>
      <c r="O65" s="38">
        <v>99</v>
      </c>
      <c r="P65" s="38">
        <v>16</v>
      </c>
      <c r="Q65" s="38">
        <v>36</v>
      </c>
      <c r="R65" s="38">
        <v>112</v>
      </c>
      <c r="S65" s="38">
        <v>112</v>
      </c>
      <c r="T65" s="38">
        <v>120</v>
      </c>
      <c r="U65" s="39">
        <v>100</v>
      </c>
      <c r="V65" s="37">
        <v>16</v>
      </c>
      <c r="W65" s="38">
        <v>45</v>
      </c>
      <c r="X65" s="38">
        <v>18</v>
      </c>
      <c r="Y65" s="38">
        <v>60</v>
      </c>
      <c r="Z65" s="38">
        <v>8</v>
      </c>
      <c r="AA65" s="38">
        <v>24</v>
      </c>
      <c r="AB65" s="38">
        <v>65</v>
      </c>
      <c r="AC65" s="38">
        <v>65</v>
      </c>
      <c r="AD65" s="38">
        <v>72</v>
      </c>
      <c r="AE65" s="39">
        <v>54</v>
      </c>
      <c r="AF65" s="37">
        <v>0</v>
      </c>
      <c r="AG65" s="38">
        <v>0</v>
      </c>
      <c r="AH65" s="38">
        <v>1</v>
      </c>
      <c r="AI65" s="38">
        <v>1</v>
      </c>
      <c r="AJ65" s="38">
        <v>0</v>
      </c>
      <c r="AK65" s="38">
        <v>0</v>
      </c>
      <c r="AL65" s="38">
        <v>0</v>
      </c>
      <c r="AM65" s="38">
        <v>0</v>
      </c>
      <c r="AN65" s="38">
        <v>3</v>
      </c>
      <c r="AO65" s="39">
        <v>2</v>
      </c>
      <c r="AP65" s="37">
        <v>0</v>
      </c>
      <c r="AQ65" s="38">
        <v>2</v>
      </c>
      <c r="AR65" s="38">
        <v>1</v>
      </c>
      <c r="AS65" s="38">
        <v>2</v>
      </c>
      <c r="AT65" s="38">
        <v>0</v>
      </c>
      <c r="AU65" s="38">
        <v>1</v>
      </c>
      <c r="AV65" s="38">
        <v>0</v>
      </c>
      <c r="AW65" s="38">
        <v>0</v>
      </c>
      <c r="AX65" s="38">
        <v>6</v>
      </c>
      <c r="AY65" s="39">
        <v>4</v>
      </c>
      <c r="AZ65" s="37">
        <v>0</v>
      </c>
      <c r="BA65" s="38">
        <v>2</v>
      </c>
      <c r="BB65" s="38">
        <v>1</v>
      </c>
      <c r="BC65" s="38">
        <v>3</v>
      </c>
      <c r="BD65" s="38">
        <v>0</v>
      </c>
      <c r="BE65" s="38">
        <v>1</v>
      </c>
      <c r="BF65" s="38">
        <v>0</v>
      </c>
      <c r="BG65" s="38">
        <v>0</v>
      </c>
      <c r="BH65" s="38">
        <v>6</v>
      </c>
      <c r="BI65" s="39">
        <v>4</v>
      </c>
      <c r="BJ65" s="37">
        <v>0</v>
      </c>
      <c r="BK65" s="38">
        <v>0</v>
      </c>
      <c r="BL65" s="38">
        <v>0</v>
      </c>
      <c r="BM65" s="38">
        <v>0</v>
      </c>
      <c r="BN65" s="38">
        <v>0</v>
      </c>
      <c r="BO65" s="38">
        <v>0</v>
      </c>
      <c r="BP65" s="38">
        <v>0</v>
      </c>
      <c r="BQ65" s="38">
        <v>0</v>
      </c>
      <c r="BR65" s="38">
        <v>0</v>
      </c>
      <c r="BS65" s="39">
        <v>0</v>
      </c>
      <c r="BT65" s="37">
        <v>0</v>
      </c>
      <c r="BU65" s="38">
        <v>1</v>
      </c>
      <c r="BV65" s="38">
        <v>0</v>
      </c>
      <c r="BW65" s="38">
        <v>0</v>
      </c>
      <c r="BX65" s="38">
        <v>0</v>
      </c>
      <c r="BY65" s="38">
        <v>0</v>
      </c>
      <c r="BZ65" s="38">
        <v>0</v>
      </c>
      <c r="CA65" s="38">
        <v>0</v>
      </c>
      <c r="CB65" s="38">
        <v>0</v>
      </c>
      <c r="CC65" s="39">
        <v>0</v>
      </c>
      <c r="CD65" s="37">
        <v>0</v>
      </c>
      <c r="CE65" s="38">
        <v>1</v>
      </c>
      <c r="CF65" s="38">
        <v>0</v>
      </c>
      <c r="CG65" s="38">
        <v>0</v>
      </c>
      <c r="CH65" s="38">
        <v>0</v>
      </c>
      <c r="CI65" s="38">
        <v>0</v>
      </c>
      <c r="CJ65" s="38">
        <v>0</v>
      </c>
      <c r="CK65" s="38">
        <v>0</v>
      </c>
      <c r="CL65" s="38">
        <v>0</v>
      </c>
      <c r="CM65" s="3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29441-A462-4691-8793-23C4B28E92F3}">
  <dimension ref="A1:CM91"/>
  <sheetViews>
    <sheetView tabSelected="1" zoomScale="102" workbookViewId="0">
      <selection activeCell="A5" sqref="A5"/>
    </sheetView>
  </sheetViews>
  <sheetFormatPr defaultRowHeight="14.4" x14ac:dyDescent="0.3"/>
  <cols>
    <col min="1" max="1" width="5.44140625" style="58" bestFit="1" customWidth="1"/>
    <col min="2" max="2" width="9.6640625" style="58" bestFit="1" customWidth="1"/>
    <col min="3" max="3" width="36.88671875" style="66" bestFit="1" customWidth="1"/>
    <col min="4" max="10" width="7.109375" style="58" customWidth="1"/>
    <col min="11" max="11" width="25.88671875" style="66" bestFit="1" customWidth="1"/>
    <col min="12" max="14" width="9.21875" style="58" customWidth="1"/>
    <col min="15" max="17" width="7.109375" style="68" customWidth="1"/>
    <col min="18" max="20" width="7.109375" style="58" customWidth="1"/>
    <col min="21" max="23" width="9.21875" style="58" customWidth="1"/>
    <col min="24" max="26" width="7.109375" style="68" customWidth="1"/>
    <col min="27" max="29" width="7.109375" style="58" customWidth="1"/>
    <col min="30" max="32" width="9.21875" style="58" customWidth="1"/>
    <col min="33" max="35" width="7.109375" style="68" customWidth="1"/>
    <col min="36" max="38" width="7.109375" style="58" customWidth="1"/>
    <col min="39" max="41" width="9.21875" style="58" customWidth="1"/>
    <col min="42" max="44" width="7.109375" style="68" customWidth="1"/>
    <col min="45" max="47" width="7.109375" style="58" customWidth="1"/>
    <col min="48" max="50" width="9.21875" style="58" customWidth="1"/>
    <col min="51" max="53" width="7.109375" style="68" customWidth="1"/>
    <col min="54" max="56" width="7.109375" style="58" customWidth="1"/>
    <col min="57" max="59" width="9.21875" style="58" customWidth="1"/>
    <col min="60" max="62" width="7.109375" style="68" customWidth="1"/>
    <col min="63" max="65" width="7.109375" style="58" customWidth="1"/>
    <col min="66" max="91" width="15.77734375" style="58" customWidth="1"/>
    <col min="92" max="16384" width="8.88671875" style="52"/>
  </cols>
  <sheetData>
    <row r="1" spans="1:91" s="100" customFormat="1" ht="63" thickBot="1" x14ac:dyDescent="0.35">
      <c r="A1" s="94" t="s">
        <v>10</v>
      </c>
      <c r="B1" s="95" t="s">
        <v>11</v>
      </c>
      <c r="C1" s="96" t="s">
        <v>12</v>
      </c>
      <c r="D1" s="95" t="s">
        <v>23</v>
      </c>
      <c r="E1" s="95" t="s">
        <v>24</v>
      </c>
      <c r="F1" s="95" t="s">
        <v>25</v>
      </c>
      <c r="G1" s="95" t="s">
        <v>26</v>
      </c>
      <c r="H1" s="95" t="s">
        <v>28</v>
      </c>
      <c r="I1" s="95" t="s">
        <v>29</v>
      </c>
      <c r="J1" s="95" t="s">
        <v>27</v>
      </c>
      <c r="K1" s="96" t="s">
        <v>36</v>
      </c>
      <c r="L1" s="97" t="s">
        <v>30</v>
      </c>
      <c r="M1" s="95" t="s">
        <v>30</v>
      </c>
      <c r="N1" s="95" t="s">
        <v>30</v>
      </c>
      <c r="O1" s="95" t="s">
        <v>37</v>
      </c>
      <c r="P1" s="95" t="s">
        <v>38</v>
      </c>
      <c r="Q1" s="95" t="s">
        <v>39</v>
      </c>
      <c r="R1" s="95" t="s">
        <v>40</v>
      </c>
      <c r="S1" s="95" t="s">
        <v>41</v>
      </c>
      <c r="T1" s="98" t="s">
        <v>42</v>
      </c>
      <c r="U1" s="97" t="s">
        <v>31</v>
      </c>
      <c r="V1" s="95" t="s">
        <v>31</v>
      </c>
      <c r="W1" s="95" t="s">
        <v>31</v>
      </c>
      <c r="X1" s="95" t="s">
        <v>43</v>
      </c>
      <c r="Y1" s="95" t="s">
        <v>44</v>
      </c>
      <c r="Z1" s="95" t="s">
        <v>45</v>
      </c>
      <c r="AA1" s="95" t="s">
        <v>46</v>
      </c>
      <c r="AB1" s="95" t="s">
        <v>47</v>
      </c>
      <c r="AC1" s="98" t="s">
        <v>48</v>
      </c>
      <c r="AD1" s="97" t="s">
        <v>32</v>
      </c>
      <c r="AE1" s="95" t="s">
        <v>32</v>
      </c>
      <c r="AF1" s="95" t="s">
        <v>32</v>
      </c>
      <c r="AG1" s="95" t="s">
        <v>49</v>
      </c>
      <c r="AH1" s="95" t="s">
        <v>50</v>
      </c>
      <c r="AI1" s="95" t="s">
        <v>51</v>
      </c>
      <c r="AJ1" s="95" t="s">
        <v>52</v>
      </c>
      <c r="AK1" s="95" t="s">
        <v>53</v>
      </c>
      <c r="AL1" s="98" t="s">
        <v>54</v>
      </c>
      <c r="AM1" s="97" t="s">
        <v>33</v>
      </c>
      <c r="AN1" s="95" t="s">
        <v>33</v>
      </c>
      <c r="AO1" s="95" t="s">
        <v>33</v>
      </c>
      <c r="AP1" s="95" t="s">
        <v>55</v>
      </c>
      <c r="AQ1" s="95" t="s">
        <v>56</v>
      </c>
      <c r="AR1" s="95" t="s">
        <v>57</v>
      </c>
      <c r="AS1" s="95" t="s">
        <v>58</v>
      </c>
      <c r="AT1" s="95" t="s">
        <v>59</v>
      </c>
      <c r="AU1" s="98" t="s">
        <v>60</v>
      </c>
      <c r="AV1" s="97" t="s">
        <v>34</v>
      </c>
      <c r="AW1" s="95" t="s">
        <v>34</v>
      </c>
      <c r="AX1" s="95" t="s">
        <v>34</v>
      </c>
      <c r="AY1" s="95" t="s">
        <v>61</v>
      </c>
      <c r="AZ1" s="95" t="s">
        <v>62</v>
      </c>
      <c r="BA1" s="95" t="s">
        <v>63</v>
      </c>
      <c r="BB1" s="95" t="s">
        <v>64</v>
      </c>
      <c r="BC1" s="95" t="s">
        <v>65</v>
      </c>
      <c r="BD1" s="98" t="s">
        <v>66</v>
      </c>
      <c r="BE1" s="97" t="s">
        <v>35</v>
      </c>
      <c r="BF1" s="95" t="s">
        <v>35</v>
      </c>
      <c r="BG1" s="95" t="s">
        <v>35</v>
      </c>
      <c r="BH1" s="95" t="s">
        <v>67</v>
      </c>
      <c r="BI1" s="95" t="s">
        <v>68</v>
      </c>
      <c r="BJ1" s="95" t="s">
        <v>69</v>
      </c>
      <c r="BK1" s="95" t="s">
        <v>70</v>
      </c>
      <c r="BL1" s="95" t="s">
        <v>71</v>
      </c>
      <c r="BM1" s="98" t="s">
        <v>72</v>
      </c>
      <c r="BN1" s="99"/>
      <c r="BO1" s="99"/>
      <c r="BP1" s="99"/>
      <c r="BQ1" s="99"/>
      <c r="BR1" s="99"/>
      <c r="BS1" s="99"/>
      <c r="BT1" s="99"/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</row>
    <row r="2" spans="1:91" x14ac:dyDescent="0.3">
      <c r="A2" s="82" cm="1">
        <f t="array" ref="A2:BM91">_xlfn._xlws.SORT(Summary!B2:BN91)</f>
        <v>1</v>
      </c>
      <c r="B2" s="80">
        <v>14007834</v>
      </c>
      <c r="C2" s="74" t="str">
        <v>2.0_M_CENTER BEZEL PREMIUM ASSY</v>
      </c>
      <c r="D2" s="55">
        <v>274</v>
      </c>
      <c r="E2" s="55">
        <v>76</v>
      </c>
      <c r="F2" s="55">
        <v>620</v>
      </c>
      <c r="G2" s="55">
        <v>44</v>
      </c>
      <c r="H2" s="55">
        <v>1</v>
      </c>
      <c r="I2" s="55">
        <v>44</v>
      </c>
      <c r="J2" s="55">
        <v>80</v>
      </c>
      <c r="K2" s="75" t="str">
        <v>FLC ( 1200 x 1000 x 800) mm</v>
      </c>
      <c r="L2" s="54">
        <v>1120</v>
      </c>
      <c r="M2" s="55">
        <v>920</v>
      </c>
      <c r="N2" s="55">
        <v>640</v>
      </c>
      <c r="O2" s="76">
        <v>4</v>
      </c>
      <c r="P2" s="76">
        <v>11</v>
      </c>
      <c r="Q2" s="76">
        <v>1</v>
      </c>
      <c r="R2" s="55">
        <v>44</v>
      </c>
      <c r="S2" s="55">
        <v>1</v>
      </c>
      <c r="T2" s="56">
        <v>44</v>
      </c>
      <c r="U2" s="54">
        <v>920</v>
      </c>
      <c r="V2" s="55">
        <v>1120</v>
      </c>
      <c r="W2" s="55">
        <v>640</v>
      </c>
      <c r="X2" s="76">
        <v>3</v>
      </c>
      <c r="Y2" s="76">
        <v>13</v>
      </c>
      <c r="Z2" s="76">
        <v>1</v>
      </c>
      <c r="AA2" s="55">
        <v>39</v>
      </c>
      <c r="AB2" s="55">
        <v>1</v>
      </c>
      <c r="AC2" s="56">
        <v>39</v>
      </c>
      <c r="AD2" s="54">
        <v>640</v>
      </c>
      <c r="AE2" s="55">
        <v>1120</v>
      </c>
      <c r="AF2" s="55">
        <v>920</v>
      </c>
      <c r="AG2" s="76">
        <v>2</v>
      </c>
      <c r="AH2" s="76">
        <v>13</v>
      </c>
      <c r="AI2" s="76">
        <v>1</v>
      </c>
      <c r="AJ2" s="55">
        <v>26</v>
      </c>
      <c r="AK2" s="55">
        <v>1</v>
      </c>
      <c r="AL2" s="56">
        <v>26</v>
      </c>
      <c r="AM2" s="54">
        <v>640</v>
      </c>
      <c r="AN2" s="55">
        <v>920</v>
      </c>
      <c r="AO2" s="55">
        <v>1120</v>
      </c>
      <c r="AP2" s="76">
        <v>2</v>
      </c>
      <c r="AQ2" s="76">
        <v>11</v>
      </c>
      <c r="AR2" s="76">
        <v>1</v>
      </c>
      <c r="AS2" s="55">
        <v>22</v>
      </c>
      <c r="AT2" s="55">
        <v>1</v>
      </c>
      <c r="AU2" s="56">
        <v>22</v>
      </c>
      <c r="AV2" s="54">
        <v>920</v>
      </c>
      <c r="AW2" s="55">
        <v>640</v>
      </c>
      <c r="AX2" s="55">
        <v>1120</v>
      </c>
      <c r="AY2" s="76">
        <v>3</v>
      </c>
      <c r="AZ2" s="76">
        <v>7</v>
      </c>
      <c r="BA2" s="76">
        <v>1</v>
      </c>
      <c r="BB2" s="55">
        <v>21</v>
      </c>
      <c r="BC2" s="55">
        <v>1</v>
      </c>
      <c r="BD2" s="56">
        <v>21</v>
      </c>
      <c r="BE2" s="54">
        <v>1120</v>
      </c>
      <c r="BF2" s="55">
        <v>640</v>
      </c>
      <c r="BG2" s="55">
        <v>920</v>
      </c>
      <c r="BH2" s="76">
        <v>4</v>
      </c>
      <c r="BI2" s="76">
        <v>7</v>
      </c>
      <c r="BJ2" s="76">
        <v>1</v>
      </c>
      <c r="BK2" s="55">
        <v>28</v>
      </c>
      <c r="BL2" s="55">
        <v>1</v>
      </c>
      <c r="BM2" s="56">
        <v>28</v>
      </c>
    </row>
    <row r="3" spans="1:91" x14ac:dyDescent="0.3">
      <c r="A3" s="83">
        <v>1</v>
      </c>
      <c r="B3" s="70">
        <v>14007834</v>
      </c>
      <c r="C3" s="66" t="str">
        <v>2.0_M_CENTER BEZEL PREMIUM ASSY</v>
      </c>
      <c r="D3" s="58">
        <v>274</v>
      </c>
      <c r="E3" s="58">
        <v>76</v>
      </c>
      <c r="F3" s="58">
        <v>620</v>
      </c>
      <c r="G3" s="58">
        <v>44</v>
      </c>
      <c r="H3" s="58">
        <v>1</v>
      </c>
      <c r="I3" s="58">
        <v>44</v>
      </c>
      <c r="J3" s="58">
        <v>80</v>
      </c>
      <c r="K3" s="72" t="str">
        <v>FLC ( 1200 x 800 x 975) mm</v>
      </c>
      <c r="L3" s="57">
        <v>1155</v>
      </c>
      <c r="M3" s="58">
        <v>755</v>
      </c>
      <c r="N3" s="58">
        <v>780</v>
      </c>
      <c r="O3" s="68">
        <v>4</v>
      </c>
      <c r="P3" s="68">
        <v>9</v>
      </c>
      <c r="Q3" s="68">
        <v>1</v>
      </c>
      <c r="R3" s="58">
        <v>36</v>
      </c>
      <c r="S3" s="58">
        <v>1</v>
      </c>
      <c r="T3" s="59">
        <v>36</v>
      </c>
      <c r="U3" s="57">
        <v>755</v>
      </c>
      <c r="V3" s="58">
        <v>1155</v>
      </c>
      <c r="W3" s="58">
        <v>780</v>
      </c>
      <c r="X3" s="68">
        <v>2</v>
      </c>
      <c r="Y3" s="68">
        <v>14</v>
      </c>
      <c r="Z3" s="68">
        <v>1</v>
      </c>
      <c r="AA3" s="58">
        <v>28</v>
      </c>
      <c r="AB3" s="58">
        <v>1</v>
      </c>
      <c r="AC3" s="59">
        <v>28</v>
      </c>
      <c r="AD3" s="57">
        <v>780</v>
      </c>
      <c r="AE3" s="58">
        <v>1155</v>
      </c>
      <c r="AF3" s="58">
        <v>755</v>
      </c>
      <c r="AG3" s="68">
        <v>2</v>
      </c>
      <c r="AH3" s="68">
        <v>14</v>
      </c>
      <c r="AI3" s="68">
        <v>1</v>
      </c>
      <c r="AJ3" s="58">
        <v>28</v>
      </c>
      <c r="AK3" s="58">
        <v>1</v>
      </c>
      <c r="AL3" s="59">
        <v>28</v>
      </c>
      <c r="AM3" s="57">
        <v>780</v>
      </c>
      <c r="AN3" s="58">
        <v>755</v>
      </c>
      <c r="AO3" s="58">
        <v>1155</v>
      </c>
      <c r="AP3" s="68">
        <v>2</v>
      </c>
      <c r="AQ3" s="68">
        <v>9</v>
      </c>
      <c r="AR3" s="68">
        <v>1</v>
      </c>
      <c r="AS3" s="58">
        <v>18</v>
      </c>
      <c r="AT3" s="58">
        <v>1</v>
      </c>
      <c r="AU3" s="59">
        <v>18</v>
      </c>
      <c r="AV3" s="57">
        <v>755</v>
      </c>
      <c r="AW3" s="58">
        <v>780</v>
      </c>
      <c r="AX3" s="58">
        <v>1155</v>
      </c>
      <c r="AY3" s="68">
        <v>2</v>
      </c>
      <c r="AZ3" s="68">
        <v>9</v>
      </c>
      <c r="BA3" s="68">
        <v>1</v>
      </c>
      <c r="BB3" s="58">
        <v>18</v>
      </c>
      <c r="BC3" s="58">
        <v>1</v>
      </c>
      <c r="BD3" s="59">
        <v>18</v>
      </c>
      <c r="BE3" s="57">
        <v>1155</v>
      </c>
      <c r="BF3" s="58">
        <v>780</v>
      </c>
      <c r="BG3" s="58">
        <v>755</v>
      </c>
      <c r="BH3" s="68">
        <v>4</v>
      </c>
      <c r="BI3" s="68">
        <v>9</v>
      </c>
      <c r="BJ3" s="68">
        <v>1</v>
      </c>
      <c r="BK3" s="58">
        <v>36</v>
      </c>
      <c r="BL3" s="58">
        <v>1</v>
      </c>
      <c r="BM3" s="59">
        <v>36</v>
      </c>
    </row>
    <row r="4" spans="1:91" s="53" customFormat="1" x14ac:dyDescent="0.3">
      <c r="A4" s="84">
        <v>1</v>
      </c>
      <c r="B4" s="71">
        <v>14007834</v>
      </c>
      <c r="C4" s="67" t="str">
        <v>2.0_M_CENTER BEZEL PREMIUM ASSY</v>
      </c>
      <c r="D4" s="61">
        <v>274</v>
      </c>
      <c r="E4" s="61">
        <v>76</v>
      </c>
      <c r="F4" s="61">
        <v>620</v>
      </c>
      <c r="G4" s="61">
        <v>44</v>
      </c>
      <c r="H4" s="61">
        <v>1</v>
      </c>
      <c r="I4" s="61">
        <v>44</v>
      </c>
      <c r="J4" s="61">
        <v>80</v>
      </c>
      <c r="K4" s="73" t="str">
        <v>FCS (810 x 760 x 860)mm</v>
      </c>
      <c r="L4" s="60">
        <v>780</v>
      </c>
      <c r="M4" s="61">
        <v>730</v>
      </c>
      <c r="N4" s="61">
        <v>720</v>
      </c>
      <c r="O4" s="69">
        <v>2</v>
      </c>
      <c r="P4" s="69">
        <v>9</v>
      </c>
      <c r="Q4" s="69">
        <v>1</v>
      </c>
      <c r="R4" s="61">
        <v>18</v>
      </c>
      <c r="S4" s="61">
        <v>1</v>
      </c>
      <c r="T4" s="62">
        <v>18</v>
      </c>
      <c r="U4" s="60">
        <v>730</v>
      </c>
      <c r="V4" s="61">
        <v>780</v>
      </c>
      <c r="W4" s="61">
        <v>720</v>
      </c>
      <c r="X4" s="69">
        <v>2</v>
      </c>
      <c r="Y4" s="69">
        <v>9</v>
      </c>
      <c r="Z4" s="69">
        <v>1</v>
      </c>
      <c r="AA4" s="61">
        <v>18</v>
      </c>
      <c r="AB4" s="61">
        <v>1</v>
      </c>
      <c r="AC4" s="62">
        <v>18</v>
      </c>
      <c r="AD4" s="60">
        <v>720</v>
      </c>
      <c r="AE4" s="61">
        <v>780</v>
      </c>
      <c r="AF4" s="61">
        <v>730</v>
      </c>
      <c r="AG4" s="69">
        <v>2</v>
      </c>
      <c r="AH4" s="69">
        <v>9</v>
      </c>
      <c r="AI4" s="69">
        <v>1</v>
      </c>
      <c r="AJ4" s="61">
        <v>18</v>
      </c>
      <c r="AK4" s="61">
        <v>1</v>
      </c>
      <c r="AL4" s="62">
        <v>18</v>
      </c>
      <c r="AM4" s="60">
        <v>720</v>
      </c>
      <c r="AN4" s="61">
        <v>730</v>
      </c>
      <c r="AO4" s="61">
        <v>780</v>
      </c>
      <c r="AP4" s="69">
        <v>2</v>
      </c>
      <c r="AQ4" s="69">
        <v>9</v>
      </c>
      <c r="AR4" s="69">
        <v>1</v>
      </c>
      <c r="AS4" s="61">
        <v>18</v>
      </c>
      <c r="AT4" s="61">
        <v>1</v>
      </c>
      <c r="AU4" s="62">
        <v>18</v>
      </c>
      <c r="AV4" s="60">
        <v>730</v>
      </c>
      <c r="AW4" s="61">
        <v>720</v>
      </c>
      <c r="AX4" s="61">
        <v>780</v>
      </c>
      <c r="AY4" s="69">
        <v>2</v>
      </c>
      <c r="AZ4" s="69">
        <v>8</v>
      </c>
      <c r="BA4" s="69">
        <v>1</v>
      </c>
      <c r="BB4" s="61">
        <v>16</v>
      </c>
      <c r="BC4" s="61">
        <v>1</v>
      </c>
      <c r="BD4" s="62">
        <v>16</v>
      </c>
      <c r="BE4" s="60">
        <v>780</v>
      </c>
      <c r="BF4" s="61">
        <v>720</v>
      </c>
      <c r="BG4" s="61">
        <v>730</v>
      </c>
      <c r="BH4" s="69">
        <v>2</v>
      </c>
      <c r="BI4" s="69">
        <v>8</v>
      </c>
      <c r="BJ4" s="69">
        <v>1</v>
      </c>
      <c r="BK4" s="61">
        <v>16</v>
      </c>
      <c r="BL4" s="61">
        <v>1</v>
      </c>
      <c r="BM4" s="62">
        <v>16</v>
      </c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</row>
    <row r="5" spans="1:91" x14ac:dyDescent="0.3">
      <c r="A5" s="83">
        <v>1</v>
      </c>
      <c r="B5" s="70">
        <v>14007834</v>
      </c>
      <c r="C5" s="66" t="str">
        <v>2.0_M_CENTER BEZEL PREMIUM ASSY</v>
      </c>
      <c r="D5" s="58">
        <v>274</v>
      </c>
      <c r="E5" s="58">
        <v>76</v>
      </c>
      <c r="F5" s="58">
        <v>620</v>
      </c>
      <c r="G5" s="58">
        <v>44</v>
      </c>
      <c r="H5" s="58">
        <v>1</v>
      </c>
      <c r="I5" s="58">
        <v>44</v>
      </c>
      <c r="J5" s="58">
        <v>80</v>
      </c>
      <c r="K5" s="72" t="str">
        <v>Crate (600 x 400 x 120) mm</v>
      </c>
      <c r="L5" s="57">
        <v>560</v>
      </c>
      <c r="M5" s="58">
        <v>360</v>
      </c>
      <c r="N5" s="58">
        <v>105</v>
      </c>
      <c r="O5" s="68">
        <v>2</v>
      </c>
      <c r="P5" s="68">
        <v>4</v>
      </c>
      <c r="Q5" s="68">
        <v>0</v>
      </c>
      <c r="R5" s="58">
        <v>8</v>
      </c>
      <c r="S5" s="58">
        <v>0</v>
      </c>
      <c r="T5" s="59">
        <v>0</v>
      </c>
      <c r="U5" s="57">
        <v>360</v>
      </c>
      <c r="V5" s="58">
        <v>560</v>
      </c>
      <c r="W5" s="58">
        <v>105</v>
      </c>
      <c r="X5" s="68">
        <v>1</v>
      </c>
      <c r="Y5" s="68">
        <v>6</v>
      </c>
      <c r="Z5" s="68">
        <v>0</v>
      </c>
      <c r="AA5" s="58">
        <v>6</v>
      </c>
      <c r="AB5" s="58">
        <v>0</v>
      </c>
      <c r="AC5" s="59">
        <v>0</v>
      </c>
      <c r="AD5" s="57">
        <v>105</v>
      </c>
      <c r="AE5" s="58">
        <v>560</v>
      </c>
      <c r="AF5" s="58">
        <v>360</v>
      </c>
      <c r="AG5" s="68">
        <v>0</v>
      </c>
      <c r="AH5" s="68">
        <v>6</v>
      </c>
      <c r="AI5" s="68">
        <v>0</v>
      </c>
      <c r="AJ5" s="58">
        <v>0</v>
      </c>
      <c r="AK5" s="58">
        <v>0</v>
      </c>
      <c r="AL5" s="59">
        <v>0</v>
      </c>
      <c r="AM5" s="57">
        <v>105</v>
      </c>
      <c r="AN5" s="58">
        <v>360</v>
      </c>
      <c r="AO5" s="58">
        <v>560</v>
      </c>
      <c r="AP5" s="68">
        <v>0</v>
      </c>
      <c r="AQ5" s="68">
        <v>4</v>
      </c>
      <c r="AR5" s="68">
        <v>0</v>
      </c>
      <c r="AS5" s="58">
        <v>0</v>
      </c>
      <c r="AT5" s="58">
        <v>0</v>
      </c>
      <c r="AU5" s="59">
        <v>0</v>
      </c>
      <c r="AV5" s="57">
        <v>360</v>
      </c>
      <c r="AW5" s="58">
        <v>105</v>
      </c>
      <c r="AX5" s="58">
        <v>560</v>
      </c>
      <c r="AY5" s="68">
        <v>1</v>
      </c>
      <c r="AZ5" s="68">
        <v>1</v>
      </c>
      <c r="BA5" s="68">
        <v>0</v>
      </c>
      <c r="BB5" s="58">
        <v>1</v>
      </c>
      <c r="BC5" s="58">
        <v>0</v>
      </c>
      <c r="BD5" s="59">
        <v>0</v>
      </c>
      <c r="BE5" s="57">
        <v>560</v>
      </c>
      <c r="BF5" s="58">
        <v>105</v>
      </c>
      <c r="BG5" s="58">
        <v>360</v>
      </c>
      <c r="BH5" s="68">
        <v>2</v>
      </c>
      <c r="BI5" s="68">
        <v>1</v>
      </c>
      <c r="BJ5" s="68">
        <v>0</v>
      </c>
      <c r="BK5" s="58">
        <v>2</v>
      </c>
      <c r="BL5" s="58">
        <v>0</v>
      </c>
      <c r="BM5" s="59">
        <v>0</v>
      </c>
    </row>
    <row r="6" spans="1:91" x14ac:dyDescent="0.3">
      <c r="A6" s="83">
        <v>1</v>
      </c>
      <c r="B6" s="70">
        <v>14007834</v>
      </c>
      <c r="C6" s="66" t="str">
        <v>2.0_M_CENTER BEZEL PREMIUM ASSY</v>
      </c>
      <c r="D6" s="58">
        <v>274</v>
      </c>
      <c r="E6" s="58">
        <v>76</v>
      </c>
      <c r="F6" s="58">
        <v>620</v>
      </c>
      <c r="G6" s="58">
        <v>44</v>
      </c>
      <c r="H6" s="58">
        <v>1</v>
      </c>
      <c r="I6" s="58">
        <v>44</v>
      </c>
      <c r="J6" s="58">
        <v>80</v>
      </c>
      <c r="K6" s="72" t="str">
        <v>Crate (600 x 400 x 170) mm</v>
      </c>
      <c r="L6" s="57">
        <v>560</v>
      </c>
      <c r="M6" s="58">
        <v>360</v>
      </c>
      <c r="N6" s="58">
        <v>155</v>
      </c>
      <c r="O6" s="68">
        <v>2</v>
      </c>
      <c r="P6" s="68">
        <v>4</v>
      </c>
      <c r="Q6" s="68">
        <v>0</v>
      </c>
      <c r="R6" s="58">
        <v>8</v>
      </c>
      <c r="S6" s="58">
        <v>0</v>
      </c>
      <c r="T6" s="59">
        <v>0</v>
      </c>
      <c r="U6" s="57">
        <v>360</v>
      </c>
      <c r="V6" s="58">
        <v>560</v>
      </c>
      <c r="W6" s="58">
        <v>155</v>
      </c>
      <c r="X6" s="68">
        <v>1</v>
      </c>
      <c r="Y6" s="68">
        <v>6</v>
      </c>
      <c r="Z6" s="68">
        <v>0</v>
      </c>
      <c r="AA6" s="58">
        <v>6</v>
      </c>
      <c r="AB6" s="58">
        <v>0</v>
      </c>
      <c r="AC6" s="59">
        <v>0</v>
      </c>
      <c r="AD6" s="57">
        <v>155</v>
      </c>
      <c r="AE6" s="58">
        <v>560</v>
      </c>
      <c r="AF6" s="58">
        <v>360</v>
      </c>
      <c r="AG6" s="68">
        <v>0</v>
      </c>
      <c r="AH6" s="68">
        <v>6</v>
      </c>
      <c r="AI6" s="68">
        <v>0</v>
      </c>
      <c r="AJ6" s="58">
        <v>0</v>
      </c>
      <c r="AK6" s="58">
        <v>0</v>
      </c>
      <c r="AL6" s="59">
        <v>0</v>
      </c>
      <c r="AM6" s="57">
        <v>155</v>
      </c>
      <c r="AN6" s="58">
        <v>360</v>
      </c>
      <c r="AO6" s="58">
        <v>560</v>
      </c>
      <c r="AP6" s="68">
        <v>0</v>
      </c>
      <c r="AQ6" s="68">
        <v>4</v>
      </c>
      <c r="AR6" s="68">
        <v>0</v>
      </c>
      <c r="AS6" s="58">
        <v>0</v>
      </c>
      <c r="AT6" s="58">
        <v>0</v>
      </c>
      <c r="AU6" s="59">
        <v>0</v>
      </c>
      <c r="AV6" s="57">
        <v>360</v>
      </c>
      <c r="AW6" s="58">
        <v>155</v>
      </c>
      <c r="AX6" s="58">
        <v>560</v>
      </c>
      <c r="AY6" s="68">
        <v>1</v>
      </c>
      <c r="AZ6" s="68">
        <v>1</v>
      </c>
      <c r="BA6" s="68">
        <v>0</v>
      </c>
      <c r="BB6" s="58">
        <v>1</v>
      </c>
      <c r="BC6" s="58">
        <v>0</v>
      </c>
      <c r="BD6" s="59">
        <v>0</v>
      </c>
      <c r="BE6" s="57">
        <v>560</v>
      </c>
      <c r="BF6" s="58">
        <v>155</v>
      </c>
      <c r="BG6" s="58">
        <v>360</v>
      </c>
      <c r="BH6" s="68">
        <v>2</v>
      </c>
      <c r="BI6" s="68">
        <v>1</v>
      </c>
      <c r="BJ6" s="68">
        <v>0</v>
      </c>
      <c r="BK6" s="58">
        <v>2</v>
      </c>
      <c r="BL6" s="58">
        <v>0</v>
      </c>
      <c r="BM6" s="59">
        <v>0</v>
      </c>
    </row>
    <row r="7" spans="1:91" x14ac:dyDescent="0.3">
      <c r="A7" s="83">
        <v>1</v>
      </c>
      <c r="B7" s="70">
        <v>14007834</v>
      </c>
      <c r="C7" s="66" t="str">
        <v>2.0_M_CENTER BEZEL PREMIUM ASSY</v>
      </c>
      <c r="D7" s="58">
        <v>274</v>
      </c>
      <c r="E7" s="58">
        <v>76</v>
      </c>
      <c r="F7" s="58">
        <v>620</v>
      </c>
      <c r="G7" s="58">
        <v>44</v>
      </c>
      <c r="H7" s="58">
        <v>1</v>
      </c>
      <c r="I7" s="58">
        <v>44</v>
      </c>
      <c r="J7" s="58">
        <v>80</v>
      </c>
      <c r="K7" s="72" t="str">
        <v>Crate (600 x 400 x 220) mm</v>
      </c>
      <c r="L7" s="57">
        <v>560</v>
      </c>
      <c r="M7" s="58">
        <v>360</v>
      </c>
      <c r="N7" s="58">
        <v>205</v>
      </c>
      <c r="O7" s="68">
        <v>2</v>
      </c>
      <c r="P7" s="68">
        <v>4</v>
      </c>
      <c r="Q7" s="68">
        <v>0</v>
      </c>
      <c r="R7" s="58">
        <v>8</v>
      </c>
      <c r="S7" s="58">
        <v>0</v>
      </c>
      <c r="T7" s="59">
        <v>0</v>
      </c>
      <c r="U7" s="57">
        <v>360</v>
      </c>
      <c r="V7" s="58">
        <v>560</v>
      </c>
      <c r="W7" s="58">
        <v>205</v>
      </c>
      <c r="X7" s="68">
        <v>1</v>
      </c>
      <c r="Y7" s="68">
        <v>6</v>
      </c>
      <c r="Z7" s="68">
        <v>0</v>
      </c>
      <c r="AA7" s="58">
        <v>6</v>
      </c>
      <c r="AB7" s="58">
        <v>0</v>
      </c>
      <c r="AC7" s="59">
        <v>0</v>
      </c>
      <c r="AD7" s="57">
        <v>205</v>
      </c>
      <c r="AE7" s="58">
        <v>560</v>
      </c>
      <c r="AF7" s="58">
        <v>360</v>
      </c>
      <c r="AG7" s="68">
        <v>0</v>
      </c>
      <c r="AH7" s="68">
        <v>6</v>
      </c>
      <c r="AI7" s="68">
        <v>0</v>
      </c>
      <c r="AJ7" s="58">
        <v>0</v>
      </c>
      <c r="AK7" s="58">
        <v>0</v>
      </c>
      <c r="AL7" s="59">
        <v>0</v>
      </c>
      <c r="AM7" s="57">
        <v>205</v>
      </c>
      <c r="AN7" s="58">
        <v>360</v>
      </c>
      <c r="AO7" s="58">
        <v>560</v>
      </c>
      <c r="AP7" s="68">
        <v>0</v>
      </c>
      <c r="AQ7" s="68">
        <v>4</v>
      </c>
      <c r="AR7" s="68">
        <v>0</v>
      </c>
      <c r="AS7" s="58">
        <v>0</v>
      </c>
      <c r="AT7" s="58">
        <v>0</v>
      </c>
      <c r="AU7" s="59">
        <v>0</v>
      </c>
      <c r="AV7" s="57">
        <v>360</v>
      </c>
      <c r="AW7" s="58">
        <v>205</v>
      </c>
      <c r="AX7" s="58">
        <v>560</v>
      </c>
      <c r="AY7" s="68">
        <v>1</v>
      </c>
      <c r="AZ7" s="68">
        <v>2</v>
      </c>
      <c r="BA7" s="68">
        <v>0</v>
      </c>
      <c r="BB7" s="58">
        <v>2</v>
      </c>
      <c r="BC7" s="58">
        <v>0</v>
      </c>
      <c r="BD7" s="59">
        <v>0</v>
      </c>
      <c r="BE7" s="57">
        <v>560</v>
      </c>
      <c r="BF7" s="58">
        <v>205</v>
      </c>
      <c r="BG7" s="58">
        <v>360</v>
      </c>
      <c r="BH7" s="68">
        <v>2</v>
      </c>
      <c r="BI7" s="68">
        <v>2</v>
      </c>
      <c r="BJ7" s="68">
        <v>0</v>
      </c>
      <c r="BK7" s="58">
        <v>4</v>
      </c>
      <c r="BL7" s="58">
        <v>0</v>
      </c>
      <c r="BM7" s="59">
        <v>0</v>
      </c>
    </row>
    <row r="8" spans="1:91" x14ac:dyDescent="0.3">
      <c r="A8" s="83">
        <v>1</v>
      </c>
      <c r="B8" s="70">
        <v>14007834</v>
      </c>
      <c r="C8" s="66" t="str">
        <v>2.0_M_CENTER BEZEL PREMIUM ASSY</v>
      </c>
      <c r="D8" s="58">
        <v>274</v>
      </c>
      <c r="E8" s="58">
        <v>76</v>
      </c>
      <c r="F8" s="58">
        <v>620</v>
      </c>
      <c r="G8" s="58">
        <v>44</v>
      </c>
      <c r="H8" s="58">
        <v>1</v>
      </c>
      <c r="I8" s="58">
        <v>44</v>
      </c>
      <c r="J8" s="58">
        <v>80</v>
      </c>
      <c r="K8" s="72" t="str">
        <v>Crate (400 x 300 x 120) mm</v>
      </c>
      <c r="L8" s="57">
        <v>360</v>
      </c>
      <c r="M8" s="58">
        <v>260</v>
      </c>
      <c r="N8" s="58">
        <v>105</v>
      </c>
      <c r="O8" s="68">
        <v>1</v>
      </c>
      <c r="P8" s="68">
        <v>3</v>
      </c>
      <c r="Q8" s="68">
        <v>0</v>
      </c>
      <c r="R8" s="58">
        <v>3</v>
      </c>
      <c r="S8" s="58">
        <v>0</v>
      </c>
      <c r="T8" s="59">
        <v>0</v>
      </c>
      <c r="U8" s="57">
        <v>260</v>
      </c>
      <c r="V8" s="58">
        <v>360</v>
      </c>
      <c r="W8" s="58">
        <v>105</v>
      </c>
      <c r="X8" s="68">
        <v>0</v>
      </c>
      <c r="Y8" s="68">
        <v>4</v>
      </c>
      <c r="Z8" s="68">
        <v>0</v>
      </c>
      <c r="AA8" s="58">
        <v>0</v>
      </c>
      <c r="AB8" s="58">
        <v>0</v>
      </c>
      <c r="AC8" s="59">
        <v>0</v>
      </c>
      <c r="AD8" s="57">
        <v>105</v>
      </c>
      <c r="AE8" s="58">
        <v>360</v>
      </c>
      <c r="AF8" s="58">
        <v>260</v>
      </c>
      <c r="AG8" s="68">
        <v>0</v>
      </c>
      <c r="AH8" s="68">
        <v>4</v>
      </c>
      <c r="AI8" s="68">
        <v>0</v>
      </c>
      <c r="AJ8" s="58">
        <v>0</v>
      </c>
      <c r="AK8" s="58">
        <v>0</v>
      </c>
      <c r="AL8" s="59">
        <v>0</v>
      </c>
      <c r="AM8" s="57">
        <v>105</v>
      </c>
      <c r="AN8" s="58">
        <v>260</v>
      </c>
      <c r="AO8" s="58">
        <v>360</v>
      </c>
      <c r="AP8" s="68">
        <v>0</v>
      </c>
      <c r="AQ8" s="68">
        <v>3</v>
      </c>
      <c r="AR8" s="68">
        <v>0</v>
      </c>
      <c r="AS8" s="58">
        <v>0</v>
      </c>
      <c r="AT8" s="58">
        <v>0</v>
      </c>
      <c r="AU8" s="59">
        <v>0</v>
      </c>
      <c r="AV8" s="57">
        <v>260</v>
      </c>
      <c r="AW8" s="58">
        <v>105</v>
      </c>
      <c r="AX8" s="58">
        <v>360</v>
      </c>
      <c r="AY8" s="68">
        <v>0</v>
      </c>
      <c r="AZ8" s="68">
        <v>1</v>
      </c>
      <c r="BA8" s="68">
        <v>0</v>
      </c>
      <c r="BB8" s="58">
        <v>0</v>
      </c>
      <c r="BC8" s="58">
        <v>0</v>
      </c>
      <c r="BD8" s="59">
        <v>0</v>
      </c>
      <c r="BE8" s="57">
        <v>360</v>
      </c>
      <c r="BF8" s="58">
        <v>105</v>
      </c>
      <c r="BG8" s="58">
        <v>260</v>
      </c>
      <c r="BH8" s="68">
        <v>1</v>
      </c>
      <c r="BI8" s="68">
        <v>1</v>
      </c>
      <c r="BJ8" s="68">
        <v>0</v>
      </c>
      <c r="BK8" s="58">
        <v>1</v>
      </c>
      <c r="BL8" s="58">
        <v>0</v>
      </c>
      <c r="BM8" s="59">
        <v>0</v>
      </c>
    </row>
    <row r="9" spans="1:91" x14ac:dyDescent="0.3">
      <c r="A9" s="83">
        <v>1</v>
      </c>
      <c r="B9" s="70">
        <v>14007834</v>
      </c>
      <c r="C9" s="66" t="str">
        <v>2.0_M_CENTER BEZEL PREMIUM ASSY</v>
      </c>
      <c r="D9" s="58">
        <v>274</v>
      </c>
      <c r="E9" s="58">
        <v>76</v>
      </c>
      <c r="F9" s="58">
        <v>620</v>
      </c>
      <c r="G9" s="58">
        <v>44</v>
      </c>
      <c r="H9" s="58">
        <v>1</v>
      </c>
      <c r="I9" s="58">
        <v>44</v>
      </c>
      <c r="J9" s="58">
        <v>80</v>
      </c>
      <c r="K9" s="72" t="str">
        <v>Crate (400 x 300 x 170) mm</v>
      </c>
      <c r="L9" s="57">
        <v>360</v>
      </c>
      <c r="M9" s="58">
        <v>260</v>
      </c>
      <c r="N9" s="58">
        <v>155</v>
      </c>
      <c r="O9" s="68">
        <v>1</v>
      </c>
      <c r="P9" s="68">
        <v>3</v>
      </c>
      <c r="Q9" s="68">
        <v>0</v>
      </c>
      <c r="R9" s="58">
        <v>3</v>
      </c>
      <c r="S9" s="58">
        <v>0</v>
      </c>
      <c r="T9" s="59">
        <v>0</v>
      </c>
      <c r="U9" s="57">
        <v>260</v>
      </c>
      <c r="V9" s="58">
        <v>360</v>
      </c>
      <c r="W9" s="58">
        <v>155</v>
      </c>
      <c r="X9" s="68">
        <v>0</v>
      </c>
      <c r="Y9" s="68">
        <v>4</v>
      </c>
      <c r="Z9" s="68">
        <v>0</v>
      </c>
      <c r="AA9" s="58">
        <v>0</v>
      </c>
      <c r="AB9" s="58">
        <v>0</v>
      </c>
      <c r="AC9" s="59">
        <v>0</v>
      </c>
      <c r="AD9" s="57">
        <v>155</v>
      </c>
      <c r="AE9" s="58">
        <v>360</v>
      </c>
      <c r="AF9" s="58">
        <v>260</v>
      </c>
      <c r="AG9" s="68">
        <v>0</v>
      </c>
      <c r="AH9" s="68">
        <v>4</v>
      </c>
      <c r="AI9" s="68">
        <v>0</v>
      </c>
      <c r="AJ9" s="58">
        <v>0</v>
      </c>
      <c r="AK9" s="58">
        <v>0</v>
      </c>
      <c r="AL9" s="59">
        <v>0</v>
      </c>
      <c r="AM9" s="57">
        <v>155</v>
      </c>
      <c r="AN9" s="58">
        <v>260</v>
      </c>
      <c r="AO9" s="58">
        <v>360</v>
      </c>
      <c r="AP9" s="68">
        <v>0</v>
      </c>
      <c r="AQ9" s="68">
        <v>3</v>
      </c>
      <c r="AR9" s="68">
        <v>0</v>
      </c>
      <c r="AS9" s="58">
        <v>0</v>
      </c>
      <c r="AT9" s="58">
        <v>0</v>
      </c>
      <c r="AU9" s="59">
        <v>0</v>
      </c>
      <c r="AV9" s="57">
        <v>260</v>
      </c>
      <c r="AW9" s="58">
        <v>155</v>
      </c>
      <c r="AX9" s="58">
        <v>360</v>
      </c>
      <c r="AY9" s="68">
        <v>0</v>
      </c>
      <c r="AZ9" s="68">
        <v>1</v>
      </c>
      <c r="BA9" s="68">
        <v>0</v>
      </c>
      <c r="BB9" s="58">
        <v>0</v>
      </c>
      <c r="BC9" s="58">
        <v>0</v>
      </c>
      <c r="BD9" s="59">
        <v>0</v>
      </c>
      <c r="BE9" s="57">
        <v>360</v>
      </c>
      <c r="BF9" s="58">
        <v>155</v>
      </c>
      <c r="BG9" s="58">
        <v>260</v>
      </c>
      <c r="BH9" s="68">
        <v>1</v>
      </c>
      <c r="BI9" s="68">
        <v>1</v>
      </c>
      <c r="BJ9" s="68">
        <v>0</v>
      </c>
      <c r="BK9" s="58">
        <v>1</v>
      </c>
      <c r="BL9" s="58">
        <v>0</v>
      </c>
      <c r="BM9" s="59">
        <v>0</v>
      </c>
    </row>
    <row r="10" spans="1:91" ht="15" thickBot="1" x14ac:dyDescent="0.35">
      <c r="A10" s="85">
        <v>1</v>
      </c>
      <c r="B10" s="81">
        <v>14007834</v>
      </c>
      <c r="C10" s="77" t="str">
        <v>2.0_M_CENTER BEZEL PREMIUM ASSY</v>
      </c>
      <c r="D10" s="64">
        <v>274</v>
      </c>
      <c r="E10" s="64">
        <v>76</v>
      </c>
      <c r="F10" s="64">
        <v>620</v>
      </c>
      <c r="G10" s="64">
        <v>44</v>
      </c>
      <c r="H10" s="64">
        <v>1</v>
      </c>
      <c r="I10" s="64">
        <v>44</v>
      </c>
      <c r="J10" s="64">
        <v>80</v>
      </c>
      <c r="K10" s="78" t="str">
        <v>Crate (400 x 300 x 220) mm</v>
      </c>
      <c r="L10" s="63">
        <v>360</v>
      </c>
      <c r="M10" s="64">
        <v>260</v>
      </c>
      <c r="N10" s="64">
        <v>205</v>
      </c>
      <c r="O10" s="79">
        <v>1</v>
      </c>
      <c r="P10" s="79">
        <v>3</v>
      </c>
      <c r="Q10" s="79">
        <v>0</v>
      </c>
      <c r="R10" s="64">
        <v>3</v>
      </c>
      <c r="S10" s="64">
        <v>0</v>
      </c>
      <c r="T10" s="65">
        <v>0</v>
      </c>
      <c r="U10" s="63">
        <v>260</v>
      </c>
      <c r="V10" s="64">
        <v>360</v>
      </c>
      <c r="W10" s="64">
        <v>205</v>
      </c>
      <c r="X10" s="79">
        <v>0</v>
      </c>
      <c r="Y10" s="79">
        <v>4</v>
      </c>
      <c r="Z10" s="79">
        <v>0</v>
      </c>
      <c r="AA10" s="64">
        <v>0</v>
      </c>
      <c r="AB10" s="64">
        <v>0</v>
      </c>
      <c r="AC10" s="65">
        <v>0</v>
      </c>
      <c r="AD10" s="63">
        <v>205</v>
      </c>
      <c r="AE10" s="64">
        <v>360</v>
      </c>
      <c r="AF10" s="64">
        <v>260</v>
      </c>
      <c r="AG10" s="79">
        <v>0</v>
      </c>
      <c r="AH10" s="79">
        <v>4</v>
      </c>
      <c r="AI10" s="79">
        <v>0</v>
      </c>
      <c r="AJ10" s="64">
        <v>0</v>
      </c>
      <c r="AK10" s="64">
        <v>0</v>
      </c>
      <c r="AL10" s="65">
        <v>0</v>
      </c>
      <c r="AM10" s="63">
        <v>205</v>
      </c>
      <c r="AN10" s="64">
        <v>260</v>
      </c>
      <c r="AO10" s="64">
        <v>360</v>
      </c>
      <c r="AP10" s="79">
        <v>0</v>
      </c>
      <c r="AQ10" s="79">
        <v>3</v>
      </c>
      <c r="AR10" s="79">
        <v>0</v>
      </c>
      <c r="AS10" s="64">
        <v>0</v>
      </c>
      <c r="AT10" s="64">
        <v>0</v>
      </c>
      <c r="AU10" s="65">
        <v>0</v>
      </c>
      <c r="AV10" s="63">
        <v>260</v>
      </c>
      <c r="AW10" s="64">
        <v>205</v>
      </c>
      <c r="AX10" s="64">
        <v>360</v>
      </c>
      <c r="AY10" s="79">
        <v>0</v>
      </c>
      <c r="AZ10" s="79">
        <v>2</v>
      </c>
      <c r="BA10" s="79">
        <v>0</v>
      </c>
      <c r="BB10" s="64">
        <v>0</v>
      </c>
      <c r="BC10" s="64">
        <v>0</v>
      </c>
      <c r="BD10" s="65">
        <v>0</v>
      </c>
      <c r="BE10" s="63">
        <v>360</v>
      </c>
      <c r="BF10" s="64">
        <v>205</v>
      </c>
      <c r="BG10" s="64">
        <v>260</v>
      </c>
      <c r="BH10" s="79">
        <v>1</v>
      </c>
      <c r="BI10" s="79">
        <v>2</v>
      </c>
      <c r="BJ10" s="79">
        <v>0</v>
      </c>
      <c r="BK10" s="64">
        <v>2</v>
      </c>
      <c r="BL10" s="64">
        <v>0</v>
      </c>
      <c r="BM10" s="65">
        <v>0</v>
      </c>
    </row>
    <row r="11" spans="1:91" x14ac:dyDescent="0.3">
      <c r="A11" s="82">
        <v>2</v>
      </c>
      <c r="B11" s="80">
        <v>14007835</v>
      </c>
      <c r="C11" s="74" t="str">
        <v>SHROUD UPPER</v>
      </c>
      <c r="D11" s="55">
        <v>225</v>
      </c>
      <c r="E11" s="55">
        <v>125</v>
      </c>
      <c r="F11" s="55">
        <v>190</v>
      </c>
      <c r="G11" s="55">
        <v>96</v>
      </c>
      <c r="H11" s="55">
        <v>2</v>
      </c>
      <c r="I11" s="55">
        <v>192</v>
      </c>
      <c r="J11" s="55">
        <v>18</v>
      </c>
      <c r="K11" s="75" t="str">
        <v>FLC ( 1200 x 1000 x 800) mm</v>
      </c>
      <c r="L11" s="54">
        <v>1120</v>
      </c>
      <c r="M11" s="55">
        <v>920</v>
      </c>
      <c r="N11" s="55">
        <v>640</v>
      </c>
      <c r="O11" s="76">
        <v>4</v>
      </c>
      <c r="P11" s="76">
        <v>7</v>
      </c>
      <c r="Q11" s="76">
        <v>3</v>
      </c>
      <c r="R11" s="55">
        <v>28</v>
      </c>
      <c r="S11" s="55">
        <v>3</v>
      </c>
      <c r="T11" s="56">
        <v>84</v>
      </c>
      <c r="U11" s="54">
        <v>920</v>
      </c>
      <c r="V11" s="55">
        <v>1120</v>
      </c>
      <c r="W11" s="55">
        <v>640</v>
      </c>
      <c r="X11" s="76">
        <v>4</v>
      </c>
      <c r="Y11" s="76">
        <v>8</v>
      </c>
      <c r="Z11" s="76">
        <v>3</v>
      </c>
      <c r="AA11" s="55">
        <v>32</v>
      </c>
      <c r="AB11" s="55">
        <v>3</v>
      </c>
      <c r="AC11" s="56">
        <v>96</v>
      </c>
      <c r="AD11" s="54">
        <v>640</v>
      </c>
      <c r="AE11" s="55">
        <v>1120</v>
      </c>
      <c r="AF11" s="55">
        <v>920</v>
      </c>
      <c r="AG11" s="76">
        <v>2</v>
      </c>
      <c r="AH11" s="76">
        <v>8</v>
      </c>
      <c r="AI11" s="76">
        <v>4</v>
      </c>
      <c r="AJ11" s="55">
        <v>16</v>
      </c>
      <c r="AK11" s="55">
        <v>4</v>
      </c>
      <c r="AL11" s="56">
        <v>64</v>
      </c>
      <c r="AM11" s="54">
        <v>640</v>
      </c>
      <c r="AN11" s="55">
        <v>920</v>
      </c>
      <c r="AO11" s="55">
        <v>1120</v>
      </c>
      <c r="AP11" s="76">
        <v>2</v>
      </c>
      <c r="AQ11" s="76">
        <v>7</v>
      </c>
      <c r="AR11" s="76">
        <v>5</v>
      </c>
      <c r="AS11" s="55">
        <v>14</v>
      </c>
      <c r="AT11" s="55">
        <v>5</v>
      </c>
      <c r="AU11" s="56">
        <v>70</v>
      </c>
      <c r="AV11" s="54">
        <v>920</v>
      </c>
      <c r="AW11" s="55">
        <v>640</v>
      </c>
      <c r="AX11" s="55">
        <v>1120</v>
      </c>
      <c r="AY11" s="76">
        <v>4</v>
      </c>
      <c r="AZ11" s="76">
        <v>4</v>
      </c>
      <c r="BA11" s="76">
        <v>5</v>
      </c>
      <c r="BB11" s="55">
        <v>16</v>
      </c>
      <c r="BC11" s="55">
        <v>5</v>
      </c>
      <c r="BD11" s="56">
        <v>80</v>
      </c>
      <c r="BE11" s="54">
        <v>1120</v>
      </c>
      <c r="BF11" s="55">
        <v>640</v>
      </c>
      <c r="BG11" s="55">
        <v>920</v>
      </c>
      <c r="BH11" s="76">
        <v>4</v>
      </c>
      <c r="BI11" s="76">
        <v>4</v>
      </c>
      <c r="BJ11" s="76">
        <v>4</v>
      </c>
      <c r="BK11" s="55">
        <v>16</v>
      </c>
      <c r="BL11" s="55">
        <v>4</v>
      </c>
      <c r="BM11" s="56">
        <v>64</v>
      </c>
    </row>
    <row r="12" spans="1:91" x14ac:dyDescent="0.3">
      <c r="A12" s="83">
        <v>2</v>
      </c>
      <c r="B12" s="70">
        <v>14007835</v>
      </c>
      <c r="C12" s="66" t="str">
        <v>SHROUD UPPER</v>
      </c>
      <c r="D12" s="58">
        <v>225</v>
      </c>
      <c r="E12" s="58">
        <v>125</v>
      </c>
      <c r="F12" s="58">
        <v>190</v>
      </c>
      <c r="G12" s="58">
        <v>96</v>
      </c>
      <c r="H12" s="58">
        <v>2</v>
      </c>
      <c r="I12" s="58">
        <v>192</v>
      </c>
      <c r="J12" s="58">
        <v>18</v>
      </c>
      <c r="K12" s="72" t="str">
        <v>FLC ( 1200 x 800 x 975) mm</v>
      </c>
      <c r="L12" s="57">
        <v>1155</v>
      </c>
      <c r="M12" s="58">
        <v>755</v>
      </c>
      <c r="N12" s="58">
        <v>780</v>
      </c>
      <c r="O12" s="68">
        <v>5</v>
      </c>
      <c r="P12" s="68">
        <v>5</v>
      </c>
      <c r="Q12" s="68">
        <v>4</v>
      </c>
      <c r="R12" s="58">
        <v>25</v>
      </c>
      <c r="S12" s="58">
        <v>4</v>
      </c>
      <c r="T12" s="59">
        <v>100</v>
      </c>
      <c r="U12" s="57">
        <v>755</v>
      </c>
      <c r="V12" s="58">
        <v>1155</v>
      </c>
      <c r="W12" s="58">
        <v>780</v>
      </c>
      <c r="X12" s="68">
        <v>3</v>
      </c>
      <c r="Y12" s="68">
        <v>8</v>
      </c>
      <c r="Z12" s="68">
        <v>4</v>
      </c>
      <c r="AA12" s="58">
        <v>24</v>
      </c>
      <c r="AB12" s="58">
        <v>4</v>
      </c>
      <c r="AC12" s="59">
        <v>96</v>
      </c>
      <c r="AD12" s="57">
        <v>780</v>
      </c>
      <c r="AE12" s="58">
        <v>1155</v>
      </c>
      <c r="AF12" s="58">
        <v>755</v>
      </c>
      <c r="AG12" s="68">
        <v>3</v>
      </c>
      <c r="AH12" s="68">
        <v>8</v>
      </c>
      <c r="AI12" s="68">
        <v>3</v>
      </c>
      <c r="AJ12" s="58">
        <v>24</v>
      </c>
      <c r="AK12" s="58">
        <v>3</v>
      </c>
      <c r="AL12" s="59">
        <v>72</v>
      </c>
      <c r="AM12" s="57">
        <v>780</v>
      </c>
      <c r="AN12" s="58">
        <v>755</v>
      </c>
      <c r="AO12" s="58">
        <v>1155</v>
      </c>
      <c r="AP12" s="68">
        <v>3</v>
      </c>
      <c r="AQ12" s="68">
        <v>5</v>
      </c>
      <c r="AR12" s="68">
        <v>5</v>
      </c>
      <c r="AS12" s="58">
        <v>15</v>
      </c>
      <c r="AT12" s="58">
        <v>5</v>
      </c>
      <c r="AU12" s="59">
        <v>75</v>
      </c>
      <c r="AV12" s="57">
        <v>755</v>
      </c>
      <c r="AW12" s="58">
        <v>780</v>
      </c>
      <c r="AX12" s="58">
        <v>1155</v>
      </c>
      <c r="AY12" s="68">
        <v>3</v>
      </c>
      <c r="AZ12" s="68">
        <v>6</v>
      </c>
      <c r="BA12" s="68">
        <v>5</v>
      </c>
      <c r="BB12" s="58">
        <v>18</v>
      </c>
      <c r="BC12" s="58">
        <v>5</v>
      </c>
      <c r="BD12" s="59">
        <v>90</v>
      </c>
      <c r="BE12" s="57">
        <v>1155</v>
      </c>
      <c r="BF12" s="58">
        <v>780</v>
      </c>
      <c r="BG12" s="58">
        <v>755</v>
      </c>
      <c r="BH12" s="68">
        <v>5</v>
      </c>
      <c r="BI12" s="68">
        <v>6</v>
      </c>
      <c r="BJ12" s="68">
        <v>3</v>
      </c>
      <c r="BK12" s="58">
        <v>30</v>
      </c>
      <c r="BL12" s="58">
        <v>3</v>
      </c>
      <c r="BM12" s="59">
        <v>90</v>
      </c>
    </row>
    <row r="13" spans="1:91" x14ac:dyDescent="0.3">
      <c r="A13" s="83">
        <v>2</v>
      </c>
      <c r="B13" s="70">
        <v>14007835</v>
      </c>
      <c r="C13" s="66" t="str">
        <v>SHROUD UPPER</v>
      </c>
      <c r="D13" s="58">
        <v>225</v>
      </c>
      <c r="E13" s="58">
        <v>125</v>
      </c>
      <c r="F13" s="58">
        <v>190</v>
      </c>
      <c r="G13" s="58">
        <v>96</v>
      </c>
      <c r="H13" s="58">
        <v>2</v>
      </c>
      <c r="I13" s="58">
        <v>192</v>
      </c>
      <c r="J13" s="58">
        <v>18</v>
      </c>
      <c r="K13" s="72" t="str">
        <v>FCS (810 x 760 x 860)mm</v>
      </c>
      <c r="L13" s="57">
        <v>780</v>
      </c>
      <c r="M13" s="58">
        <v>730</v>
      </c>
      <c r="N13" s="58">
        <v>720</v>
      </c>
      <c r="O13" s="68">
        <v>3</v>
      </c>
      <c r="P13" s="68">
        <v>5</v>
      </c>
      <c r="Q13" s="68">
        <v>3</v>
      </c>
      <c r="R13" s="58">
        <v>15</v>
      </c>
      <c r="S13" s="58">
        <v>3</v>
      </c>
      <c r="T13" s="62">
        <v>45</v>
      </c>
      <c r="U13" s="57">
        <v>730</v>
      </c>
      <c r="V13" s="58">
        <v>780</v>
      </c>
      <c r="W13" s="58">
        <v>720</v>
      </c>
      <c r="X13" s="68">
        <v>3</v>
      </c>
      <c r="Y13" s="68">
        <v>6</v>
      </c>
      <c r="Z13" s="68">
        <v>3</v>
      </c>
      <c r="AA13" s="58">
        <v>18</v>
      </c>
      <c r="AB13" s="58">
        <v>3</v>
      </c>
      <c r="AC13" s="62">
        <v>54</v>
      </c>
      <c r="AD13" s="57">
        <v>720</v>
      </c>
      <c r="AE13" s="58">
        <v>780</v>
      </c>
      <c r="AF13" s="58">
        <v>730</v>
      </c>
      <c r="AG13" s="68">
        <v>3</v>
      </c>
      <c r="AH13" s="68">
        <v>6</v>
      </c>
      <c r="AI13" s="68">
        <v>3</v>
      </c>
      <c r="AJ13" s="58">
        <v>18</v>
      </c>
      <c r="AK13" s="58">
        <v>3</v>
      </c>
      <c r="AL13" s="62">
        <v>54</v>
      </c>
      <c r="AM13" s="57">
        <v>720</v>
      </c>
      <c r="AN13" s="58">
        <v>730</v>
      </c>
      <c r="AO13" s="58">
        <v>780</v>
      </c>
      <c r="AP13" s="68">
        <v>3</v>
      </c>
      <c r="AQ13" s="68">
        <v>5</v>
      </c>
      <c r="AR13" s="68">
        <v>4</v>
      </c>
      <c r="AS13" s="58">
        <v>15</v>
      </c>
      <c r="AT13" s="58">
        <v>4</v>
      </c>
      <c r="AU13" s="62">
        <v>60</v>
      </c>
      <c r="AV13" s="57">
        <v>730</v>
      </c>
      <c r="AW13" s="58">
        <v>720</v>
      </c>
      <c r="AX13" s="58">
        <v>780</v>
      </c>
      <c r="AY13" s="68">
        <v>3</v>
      </c>
      <c r="AZ13" s="68">
        <v>5</v>
      </c>
      <c r="BA13" s="68">
        <v>4</v>
      </c>
      <c r="BB13" s="58">
        <v>15</v>
      </c>
      <c r="BC13" s="58">
        <v>4</v>
      </c>
      <c r="BD13" s="62">
        <v>60</v>
      </c>
      <c r="BE13" s="57">
        <v>780</v>
      </c>
      <c r="BF13" s="58">
        <v>720</v>
      </c>
      <c r="BG13" s="58">
        <v>730</v>
      </c>
      <c r="BH13" s="68">
        <v>3</v>
      </c>
      <c r="BI13" s="68">
        <v>5</v>
      </c>
      <c r="BJ13" s="68">
        <v>3</v>
      </c>
      <c r="BK13" s="58">
        <v>15</v>
      </c>
      <c r="BL13" s="58">
        <v>3</v>
      </c>
      <c r="BM13" s="62">
        <v>45</v>
      </c>
    </row>
    <row r="14" spans="1:91" x14ac:dyDescent="0.3">
      <c r="A14" s="83">
        <v>2</v>
      </c>
      <c r="B14" s="70">
        <v>14007835</v>
      </c>
      <c r="C14" s="66" t="str">
        <v>SHROUD UPPER</v>
      </c>
      <c r="D14" s="58">
        <v>225</v>
      </c>
      <c r="E14" s="58">
        <v>125</v>
      </c>
      <c r="F14" s="58">
        <v>190</v>
      </c>
      <c r="G14" s="58">
        <v>96</v>
      </c>
      <c r="H14" s="58">
        <v>2</v>
      </c>
      <c r="I14" s="58">
        <v>192</v>
      </c>
      <c r="J14" s="58">
        <v>18</v>
      </c>
      <c r="K14" s="72" t="str">
        <v>Crate (600 x 400 x 120) mm</v>
      </c>
      <c r="L14" s="57">
        <v>560</v>
      </c>
      <c r="M14" s="58">
        <v>360</v>
      </c>
      <c r="N14" s="58">
        <v>105</v>
      </c>
      <c r="O14" s="68">
        <v>2</v>
      </c>
      <c r="P14" s="68">
        <v>2</v>
      </c>
      <c r="Q14" s="68">
        <v>0</v>
      </c>
      <c r="R14" s="58">
        <v>4</v>
      </c>
      <c r="S14" s="58">
        <v>0</v>
      </c>
      <c r="T14" s="59">
        <v>0</v>
      </c>
      <c r="U14" s="57">
        <v>360</v>
      </c>
      <c r="V14" s="58">
        <v>560</v>
      </c>
      <c r="W14" s="58">
        <v>105</v>
      </c>
      <c r="X14" s="68">
        <v>1</v>
      </c>
      <c r="Y14" s="68">
        <v>4</v>
      </c>
      <c r="Z14" s="68">
        <v>0</v>
      </c>
      <c r="AA14" s="58">
        <v>4</v>
      </c>
      <c r="AB14" s="58">
        <v>0</v>
      </c>
      <c r="AC14" s="59">
        <v>0</v>
      </c>
      <c r="AD14" s="57">
        <v>105</v>
      </c>
      <c r="AE14" s="58">
        <v>560</v>
      </c>
      <c r="AF14" s="58">
        <v>360</v>
      </c>
      <c r="AG14" s="68">
        <v>0</v>
      </c>
      <c r="AH14" s="68">
        <v>4</v>
      </c>
      <c r="AI14" s="68">
        <v>1</v>
      </c>
      <c r="AJ14" s="58">
        <v>0</v>
      </c>
      <c r="AK14" s="58">
        <v>1</v>
      </c>
      <c r="AL14" s="59">
        <v>0</v>
      </c>
      <c r="AM14" s="57">
        <v>105</v>
      </c>
      <c r="AN14" s="58">
        <v>360</v>
      </c>
      <c r="AO14" s="58">
        <v>560</v>
      </c>
      <c r="AP14" s="68">
        <v>0</v>
      </c>
      <c r="AQ14" s="68">
        <v>2</v>
      </c>
      <c r="AR14" s="68">
        <v>2</v>
      </c>
      <c r="AS14" s="58">
        <v>0</v>
      </c>
      <c r="AT14" s="58">
        <v>2</v>
      </c>
      <c r="AU14" s="59">
        <v>0</v>
      </c>
      <c r="AV14" s="57">
        <v>360</v>
      </c>
      <c r="AW14" s="58">
        <v>105</v>
      </c>
      <c r="AX14" s="58">
        <v>560</v>
      </c>
      <c r="AY14" s="68">
        <v>1</v>
      </c>
      <c r="AZ14" s="68">
        <v>0</v>
      </c>
      <c r="BA14" s="68">
        <v>2</v>
      </c>
      <c r="BB14" s="58">
        <v>0</v>
      </c>
      <c r="BC14" s="58">
        <v>2</v>
      </c>
      <c r="BD14" s="59">
        <v>0</v>
      </c>
      <c r="BE14" s="57">
        <v>560</v>
      </c>
      <c r="BF14" s="58">
        <v>105</v>
      </c>
      <c r="BG14" s="58">
        <v>360</v>
      </c>
      <c r="BH14" s="68">
        <v>2</v>
      </c>
      <c r="BI14" s="68">
        <v>0</v>
      </c>
      <c r="BJ14" s="68">
        <v>1</v>
      </c>
      <c r="BK14" s="58">
        <v>0</v>
      </c>
      <c r="BL14" s="58">
        <v>1</v>
      </c>
      <c r="BM14" s="59">
        <v>0</v>
      </c>
    </row>
    <row r="15" spans="1:91" x14ac:dyDescent="0.3">
      <c r="A15" s="83">
        <v>2</v>
      </c>
      <c r="B15" s="70">
        <v>14007835</v>
      </c>
      <c r="C15" s="66" t="str">
        <v>SHROUD UPPER</v>
      </c>
      <c r="D15" s="58">
        <v>225</v>
      </c>
      <c r="E15" s="58">
        <v>125</v>
      </c>
      <c r="F15" s="58">
        <v>190</v>
      </c>
      <c r="G15" s="58">
        <v>96</v>
      </c>
      <c r="H15" s="58">
        <v>2</v>
      </c>
      <c r="I15" s="58">
        <v>192</v>
      </c>
      <c r="J15" s="58">
        <v>18</v>
      </c>
      <c r="K15" s="72" t="str">
        <v>Crate (600 x 400 x 170) mm</v>
      </c>
      <c r="L15" s="57">
        <v>560</v>
      </c>
      <c r="M15" s="58">
        <v>360</v>
      </c>
      <c r="N15" s="58">
        <v>155</v>
      </c>
      <c r="O15" s="68">
        <v>2</v>
      </c>
      <c r="P15" s="68">
        <v>2</v>
      </c>
      <c r="Q15" s="68">
        <v>0</v>
      </c>
      <c r="R15" s="58">
        <v>4</v>
      </c>
      <c r="S15" s="58">
        <v>0</v>
      </c>
      <c r="T15" s="59">
        <v>0</v>
      </c>
      <c r="U15" s="57">
        <v>360</v>
      </c>
      <c r="V15" s="58">
        <v>560</v>
      </c>
      <c r="W15" s="58">
        <v>155</v>
      </c>
      <c r="X15" s="68">
        <v>1</v>
      </c>
      <c r="Y15" s="68">
        <v>4</v>
      </c>
      <c r="Z15" s="68">
        <v>0</v>
      </c>
      <c r="AA15" s="58">
        <v>4</v>
      </c>
      <c r="AB15" s="58">
        <v>0</v>
      </c>
      <c r="AC15" s="59">
        <v>0</v>
      </c>
      <c r="AD15" s="57">
        <v>155</v>
      </c>
      <c r="AE15" s="58">
        <v>560</v>
      </c>
      <c r="AF15" s="58">
        <v>360</v>
      </c>
      <c r="AG15" s="68">
        <v>0</v>
      </c>
      <c r="AH15" s="68">
        <v>4</v>
      </c>
      <c r="AI15" s="68">
        <v>1</v>
      </c>
      <c r="AJ15" s="58">
        <v>0</v>
      </c>
      <c r="AK15" s="58">
        <v>1</v>
      </c>
      <c r="AL15" s="59">
        <v>0</v>
      </c>
      <c r="AM15" s="57">
        <v>155</v>
      </c>
      <c r="AN15" s="58">
        <v>360</v>
      </c>
      <c r="AO15" s="58">
        <v>560</v>
      </c>
      <c r="AP15" s="68">
        <v>0</v>
      </c>
      <c r="AQ15" s="68">
        <v>2</v>
      </c>
      <c r="AR15" s="68">
        <v>2</v>
      </c>
      <c r="AS15" s="58">
        <v>0</v>
      </c>
      <c r="AT15" s="58">
        <v>2</v>
      </c>
      <c r="AU15" s="59">
        <v>0</v>
      </c>
      <c r="AV15" s="57">
        <v>360</v>
      </c>
      <c r="AW15" s="58">
        <v>155</v>
      </c>
      <c r="AX15" s="58">
        <v>560</v>
      </c>
      <c r="AY15" s="68">
        <v>1</v>
      </c>
      <c r="AZ15" s="68">
        <v>1</v>
      </c>
      <c r="BA15" s="68">
        <v>2</v>
      </c>
      <c r="BB15" s="58">
        <v>1</v>
      </c>
      <c r="BC15" s="58">
        <v>2</v>
      </c>
      <c r="BD15" s="59">
        <v>2</v>
      </c>
      <c r="BE15" s="57">
        <v>560</v>
      </c>
      <c r="BF15" s="58">
        <v>155</v>
      </c>
      <c r="BG15" s="58">
        <v>360</v>
      </c>
      <c r="BH15" s="68">
        <v>2</v>
      </c>
      <c r="BI15" s="68">
        <v>1</v>
      </c>
      <c r="BJ15" s="68">
        <v>1</v>
      </c>
      <c r="BK15" s="58">
        <v>2</v>
      </c>
      <c r="BL15" s="58">
        <v>1</v>
      </c>
      <c r="BM15" s="59">
        <v>2</v>
      </c>
    </row>
    <row r="16" spans="1:91" x14ac:dyDescent="0.3">
      <c r="A16" s="83">
        <v>2</v>
      </c>
      <c r="B16" s="70">
        <v>14007835</v>
      </c>
      <c r="C16" s="66" t="str">
        <v>SHROUD UPPER</v>
      </c>
      <c r="D16" s="58">
        <v>225</v>
      </c>
      <c r="E16" s="58">
        <v>125</v>
      </c>
      <c r="F16" s="58">
        <v>190</v>
      </c>
      <c r="G16" s="58">
        <v>96</v>
      </c>
      <c r="H16" s="58">
        <v>2</v>
      </c>
      <c r="I16" s="58">
        <v>192</v>
      </c>
      <c r="J16" s="58">
        <v>18</v>
      </c>
      <c r="K16" s="72" t="str">
        <v>Crate (600 x 400 x 220) mm</v>
      </c>
      <c r="L16" s="57">
        <v>560</v>
      </c>
      <c r="M16" s="58">
        <v>360</v>
      </c>
      <c r="N16" s="58">
        <v>205</v>
      </c>
      <c r="O16" s="68">
        <v>2</v>
      </c>
      <c r="P16" s="68">
        <v>2</v>
      </c>
      <c r="Q16" s="68">
        <v>1</v>
      </c>
      <c r="R16" s="58">
        <v>4</v>
      </c>
      <c r="S16" s="58">
        <v>1</v>
      </c>
      <c r="T16" s="59">
        <v>4</v>
      </c>
      <c r="U16" s="57">
        <v>360</v>
      </c>
      <c r="V16" s="58">
        <v>560</v>
      </c>
      <c r="W16" s="58">
        <v>205</v>
      </c>
      <c r="X16" s="68">
        <v>1</v>
      </c>
      <c r="Y16" s="68">
        <v>4</v>
      </c>
      <c r="Z16" s="68">
        <v>1</v>
      </c>
      <c r="AA16" s="58">
        <v>4</v>
      </c>
      <c r="AB16" s="58">
        <v>1</v>
      </c>
      <c r="AC16" s="59">
        <v>4</v>
      </c>
      <c r="AD16" s="57">
        <v>205</v>
      </c>
      <c r="AE16" s="58">
        <v>560</v>
      </c>
      <c r="AF16" s="58">
        <v>360</v>
      </c>
      <c r="AG16" s="68">
        <v>0</v>
      </c>
      <c r="AH16" s="68">
        <v>4</v>
      </c>
      <c r="AI16" s="68">
        <v>1</v>
      </c>
      <c r="AJ16" s="58">
        <v>0</v>
      </c>
      <c r="AK16" s="58">
        <v>1</v>
      </c>
      <c r="AL16" s="59">
        <v>0</v>
      </c>
      <c r="AM16" s="57">
        <v>205</v>
      </c>
      <c r="AN16" s="58">
        <v>360</v>
      </c>
      <c r="AO16" s="58">
        <v>560</v>
      </c>
      <c r="AP16" s="68">
        <v>0</v>
      </c>
      <c r="AQ16" s="68">
        <v>2</v>
      </c>
      <c r="AR16" s="68">
        <v>2</v>
      </c>
      <c r="AS16" s="58">
        <v>0</v>
      </c>
      <c r="AT16" s="58">
        <v>2</v>
      </c>
      <c r="AU16" s="59">
        <v>0</v>
      </c>
      <c r="AV16" s="57">
        <v>360</v>
      </c>
      <c r="AW16" s="58">
        <v>205</v>
      </c>
      <c r="AX16" s="58">
        <v>560</v>
      </c>
      <c r="AY16" s="68">
        <v>1</v>
      </c>
      <c r="AZ16" s="68">
        <v>1</v>
      </c>
      <c r="BA16" s="68">
        <v>2</v>
      </c>
      <c r="BB16" s="58">
        <v>1</v>
      </c>
      <c r="BC16" s="58">
        <v>2</v>
      </c>
      <c r="BD16" s="59">
        <v>2</v>
      </c>
      <c r="BE16" s="57">
        <v>560</v>
      </c>
      <c r="BF16" s="58">
        <v>205</v>
      </c>
      <c r="BG16" s="58">
        <v>360</v>
      </c>
      <c r="BH16" s="68">
        <v>2</v>
      </c>
      <c r="BI16" s="68">
        <v>1</v>
      </c>
      <c r="BJ16" s="68">
        <v>1</v>
      </c>
      <c r="BK16" s="58">
        <v>2</v>
      </c>
      <c r="BL16" s="58">
        <v>1</v>
      </c>
      <c r="BM16" s="59">
        <v>2</v>
      </c>
    </row>
    <row r="17" spans="1:65" x14ac:dyDescent="0.3">
      <c r="A17" s="83">
        <v>2</v>
      </c>
      <c r="B17" s="70">
        <v>14007835</v>
      </c>
      <c r="C17" s="66" t="str">
        <v>SHROUD UPPER</v>
      </c>
      <c r="D17" s="58">
        <v>225</v>
      </c>
      <c r="E17" s="58">
        <v>125</v>
      </c>
      <c r="F17" s="58">
        <v>190</v>
      </c>
      <c r="G17" s="58">
        <v>96</v>
      </c>
      <c r="H17" s="58">
        <v>2</v>
      </c>
      <c r="I17" s="58">
        <v>192</v>
      </c>
      <c r="J17" s="58">
        <v>18</v>
      </c>
      <c r="K17" s="72" t="str">
        <v>Crate (400 x 300 x 120) mm</v>
      </c>
      <c r="L17" s="57">
        <v>360</v>
      </c>
      <c r="M17" s="58">
        <v>260</v>
      </c>
      <c r="N17" s="58">
        <v>105</v>
      </c>
      <c r="O17" s="68">
        <v>1</v>
      </c>
      <c r="P17" s="68">
        <v>2</v>
      </c>
      <c r="Q17" s="68">
        <v>0</v>
      </c>
      <c r="R17" s="58">
        <v>2</v>
      </c>
      <c r="S17" s="58">
        <v>0</v>
      </c>
      <c r="T17" s="59">
        <v>0</v>
      </c>
      <c r="U17" s="57">
        <v>260</v>
      </c>
      <c r="V17" s="58">
        <v>360</v>
      </c>
      <c r="W17" s="58">
        <v>105</v>
      </c>
      <c r="X17" s="68">
        <v>1</v>
      </c>
      <c r="Y17" s="68">
        <v>2</v>
      </c>
      <c r="Z17" s="68">
        <v>0</v>
      </c>
      <c r="AA17" s="58">
        <v>2</v>
      </c>
      <c r="AB17" s="58">
        <v>0</v>
      </c>
      <c r="AC17" s="59">
        <v>0</v>
      </c>
      <c r="AD17" s="57">
        <v>105</v>
      </c>
      <c r="AE17" s="58">
        <v>360</v>
      </c>
      <c r="AF17" s="58">
        <v>260</v>
      </c>
      <c r="AG17" s="68">
        <v>0</v>
      </c>
      <c r="AH17" s="68">
        <v>2</v>
      </c>
      <c r="AI17" s="68">
        <v>1</v>
      </c>
      <c r="AJ17" s="58">
        <v>0</v>
      </c>
      <c r="AK17" s="58">
        <v>1</v>
      </c>
      <c r="AL17" s="59">
        <v>0</v>
      </c>
      <c r="AM17" s="57">
        <v>105</v>
      </c>
      <c r="AN17" s="58">
        <v>260</v>
      </c>
      <c r="AO17" s="58">
        <v>360</v>
      </c>
      <c r="AP17" s="68">
        <v>0</v>
      </c>
      <c r="AQ17" s="68">
        <v>2</v>
      </c>
      <c r="AR17" s="68">
        <v>1</v>
      </c>
      <c r="AS17" s="58">
        <v>0</v>
      </c>
      <c r="AT17" s="58">
        <v>1</v>
      </c>
      <c r="AU17" s="59">
        <v>0</v>
      </c>
      <c r="AV17" s="57">
        <v>260</v>
      </c>
      <c r="AW17" s="58">
        <v>105</v>
      </c>
      <c r="AX17" s="58">
        <v>360</v>
      </c>
      <c r="AY17" s="68">
        <v>1</v>
      </c>
      <c r="AZ17" s="68">
        <v>0</v>
      </c>
      <c r="BA17" s="68">
        <v>1</v>
      </c>
      <c r="BB17" s="58">
        <v>0</v>
      </c>
      <c r="BC17" s="58">
        <v>1</v>
      </c>
      <c r="BD17" s="59">
        <v>0</v>
      </c>
      <c r="BE17" s="57">
        <v>360</v>
      </c>
      <c r="BF17" s="58">
        <v>105</v>
      </c>
      <c r="BG17" s="58">
        <v>260</v>
      </c>
      <c r="BH17" s="68">
        <v>1</v>
      </c>
      <c r="BI17" s="68">
        <v>0</v>
      </c>
      <c r="BJ17" s="68">
        <v>1</v>
      </c>
      <c r="BK17" s="58">
        <v>0</v>
      </c>
      <c r="BL17" s="58">
        <v>1</v>
      </c>
      <c r="BM17" s="59">
        <v>0</v>
      </c>
    </row>
    <row r="18" spans="1:65" x14ac:dyDescent="0.3">
      <c r="A18" s="83">
        <v>2</v>
      </c>
      <c r="B18" s="70">
        <v>14007835</v>
      </c>
      <c r="C18" s="66" t="str">
        <v>SHROUD UPPER</v>
      </c>
      <c r="D18" s="58">
        <v>225</v>
      </c>
      <c r="E18" s="58">
        <v>125</v>
      </c>
      <c r="F18" s="58">
        <v>190</v>
      </c>
      <c r="G18" s="58">
        <v>96</v>
      </c>
      <c r="H18" s="58">
        <v>2</v>
      </c>
      <c r="I18" s="58">
        <v>192</v>
      </c>
      <c r="J18" s="58">
        <v>18</v>
      </c>
      <c r="K18" s="72" t="str">
        <v>Crate (400 x 300 x 170) mm</v>
      </c>
      <c r="L18" s="57">
        <v>360</v>
      </c>
      <c r="M18" s="58">
        <v>260</v>
      </c>
      <c r="N18" s="58">
        <v>155</v>
      </c>
      <c r="O18" s="68">
        <v>1</v>
      </c>
      <c r="P18" s="68">
        <v>2</v>
      </c>
      <c r="Q18" s="68">
        <v>0</v>
      </c>
      <c r="R18" s="58">
        <v>2</v>
      </c>
      <c r="S18" s="58">
        <v>0</v>
      </c>
      <c r="T18" s="59">
        <v>0</v>
      </c>
      <c r="U18" s="57">
        <v>260</v>
      </c>
      <c r="V18" s="58">
        <v>360</v>
      </c>
      <c r="W18" s="58">
        <v>155</v>
      </c>
      <c r="X18" s="68">
        <v>1</v>
      </c>
      <c r="Y18" s="68">
        <v>2</v>
      </c>
      <c r="Z18" s="68">
        <v>0</v>
      </c>
      <c r="AA18" s="58">
        <v>2</v>
      </c>
      <c r="AB18" s="58">
        <v>0</v>
      </c>
      <c r="AC18" s="59">
        <v>0</v>
      </c>
      <c r="AD18" s="57">
        <v>155</v>
      </c>
      <c r="AE18" s="58">
        <v>360</v>
      </c>
      <c r="AF18" s="58">
        <v>260</v>
      </c>
      <c r="AG18" s="68">
        <v>0</v>
      </c>
      <c r="AH18" s="68">
        <v>2</v>
      </c>
      <c r="AI18" s="68">
        <v>1</v>
      </c>
      <c r="AJ18" s="58">
        <v>0</v>
      </c>
      <c r="AK18" s="58">
        <v>1</v>
      </c>
      <c r="AL18" s="59">
        <v>0</v>
      </c>
      <c r="AM18" s="57">
        <v>155</v>
      </c>
      <c r="AN18" s="58">
        <v>260</v>
      </c>
      <c r="AO18" s="58">
        <v>360</v>
      </c>
      <c r="AP18" s="68">
        <v>0</v>
      </c>
      <c r="AQ18" s="68">
        <v>2</v>
      </c>
      <c r="AR18" s="68">
        <v>1</v>
      </c>
      <c r="AS18" s="58">
        <v>0</v>
      </c>
      <c r="AT18" s="58">
        <v>1</v>
      </c>
      <c r="AU18" s="59">
        <v>0</v>
      </c>
      <c r="AV18" s="57">
        <v>260</v>
      </c>
      <c r="AW18" s="58">
        <v>155</v>
      </c>
      <c r="AX18" s="58">
        <v>360</v>
      </c>
      <c r="AY18" s="68">
        <v>1</v>
      </c>
      <c r="AZ18" s="68">
        <v>1</v>
      </c>
      <c r="BA18" s="68">
        <v>1</v>
      </c>
      <c r="BB18" s="58">
        <v>1</v>
      </c>
      <c r="BC18" s="58">
        <v>1</v>
      </c>
      <c r="BD18" s="59">
        <v>1</v>
      </c>
      <c r="BE18" s="57">
        <v>360</v>
      </c>
      <c r="BF18" s="58">
        <v>155</v>
      </c>
      <c r="BG18" s="58">
        <v>260</v>
      </c>
      <c r="BH18" s="68">
        <v>1</v>
      </c>
      <c r="BI18" s="68">
        <v>1</v>
      </c>
      <c r="BJ18" s="68">
        <v>1</v>
      </c>
      <c r="BK18" s="58">
        <v>1</v>
      </c>
      <c r="BL18" s="58">
        <v>1</v>
      </c>
      <c r="BM18" s="59">
        <v>1</v>
      </c>
    </row>
    <row r="19" spans="1:65" ht="15" thickBot="1" x14ac:dyDescent="0.35">
      <c r="A19" s="85">
        <v>2</v>
      </c>
      <c r="B19" s="81">
        <v>14007835</v>
      </c>
      <c r="C19" s="77" t="str">
        <v>SHROUD UPPER</v>
      </c>
      <c r="D19" s="64">
        <v>225</v>
      </c>
      <c r="E19" s="64">
        <v>125</v>
      </c>
      <c r="F19" s="64">
        <v>190</v>
      </c>
      <c r="G19" s="64">
        <v>96</v>
      </c>
      <c r="H19" s="64">
        <v>2</v>
      </c>
      <c r="I19" s="64">
        <v>192</v>
      </c>
      <c r="J19" s="64">
        <v>18</v>
      </c>
      <c r="K19" s="78" t="str">
        <v>Crate (400 x 300 x 220) mm</v>
      </c>
      <c r="L19" s="63">
        <v>360</v>
      </c>
      <c r="M19" s="64">
        <v>260</v>
      </c>
      <c r="N19" s="64">
        <v>205</v>
      </c>
      <c r="O19" s="79">
        <v>1</v>
      </c>
      <c r="P19" s="79">
        <v>2</v>
      </c>
      <c r="Q19" s="79">
        <v>1</v>
      </c>
      <c r="R19" s="64">
        <v>2</v>
      </c>
      <c r="S19" s="64">
        <v>1</v>
      </c>
      <c r="T19" s="65">
        <v>2</v>
      </c>
      <c r="U19" s="63">
        <v>260</v>
      </c>
      <c r="V19" s="64">
        <v>360</v>
      </c>
      <c r="W19" s="64">
        <v>205</v>
      </c>
      <c r="X19" s="79">
        <v>1</v>
      </c>
      <c r="Y19" s="79">
        <v>2</v>
      </c>
      <c r="Z19" s="79">
        <v>1</v>
      </c>
      <c r="AA19" s="64">
        <v>2</v>
      </c>
      <c r="AB19" s="64">
        <v>1</v>
      </c>
      <c r="AC19" s="65">
        <v>2</v>
      </c>
      <c r="AD19" s="63">
        <v>205</v>
      </c>
      <c r="AE19" s="64">
        <v>360</v>
      </c>
      <c r="AF19" s="64">
        <v>260</v>
      </c>
      <c r="AG19" s="79">
        <v>0</v>
      </c>
      <c r="AH19" s="79">
        <v>2</v>
      </c>
      <c r="AI19" s="79">
        <v>1</v>
      </c>
      <c r="AJ19" s="64">
        <v>0</v>
      </c>
      <c r="AK19" s="64">
        <v>1</v>
      </c>
      <c r="AL19" s="65">
        <v>0</v>
      </c>
      <c r="AM19" s="63">
        <v>205</v>
      </c>
      <c r="AN19" s="64">
        <v>260</v>
      </c>
      <c r="AO19" s="64">
        <v>360</v>
      </c>
      <c r="AP19" s="79">
        <v>0</v>
      </c>
      <c r="AQ19" s="79">
        <v>2</v>
      </c>
      <c r="AR19" s="79">
        <v>1</v>
      </c>
      <c r="AS19" s="64">
        <v>0</v>
      </c>
      <c r="AT19" s="64">
        <v>1</v>
      </c>
      <c r="AU19" s="65">
        <v>0</v>
      </c>
      <c r="AV19" s="63">
        <v>260</v>
      </c>
      <c r="AW19" s="64">
        <v>205</v>
      </c>
      <c r="AX19" s="64">
        <v>360</v>
      </c>
      <c r="AY19" s="79">
        <v>1</v>
      </c>
      <c r="AZ19" s="79">
        <v>1</v>
      </c>
      <c r="BA19" s="79">
        <v>1</v>
      </c>
      <c r="BB19" s="64">
        <v>1</v>
      </c>
      <c r="BC19" s="64">
        <v>1</v>
      </c>
      <c r="BD19" s="65">
        <v>1</v>
      </c>
      <c r="BE19" s="63">
        <v>360</v>
      </c>
      <c r="BF19" s="64">
        <v>205</v>
      </c>
      <c r="BG19" s="64">
        <v>260</v>
      </c>
      <c r="BH19" s="79">
        <v>1</v>
      </c>
      <c r="BI19" s="79">
        <v>1</v>
      </c>
      <c r="BJ19" s="79">
        <v>1</v>
      </c>
      <c r="BK19" s="64">
        <v>1</v>
      </c>
      <c r="BL19" s="64">
        <v>1</v>
      </c>
      <c r="BM19" s="65">
        <v>1</v>
      </c>
    </row>
    <row r="20" spans="1:65" x14ac:dyDescent="0.3">
      <c r="A20" s="82">
        <v>3</v>
      </c>
      <c r="B20" s="80">
        <v>14007836</v>
      </c>
      <c r="C20" s="74" t="str">
        <v>SHROUD LOWER</v>
      </c>
      <c r="D20" s="55">
        <v>435</v>
      </c>
      <c r="E20" s="55">
        <v>100</v>
      </c>
      <c r="F20" s="55">
        <v>210</v>
      </c>
      <c r="G20" s="55">
        <v>48</v>
      </c>
      <c r="H20" s="55">
        <v>1</v>
      </c>
      <c r="I20" s="55">
        <v>48</v>
      </c>
      <c r="J20" s="55">
        <v>75</v>
      </c>
      <c r="K20" s="75" t="str">
        <v>FLC ( 1200 x 1000 x 800) mm</v>
      </c>
      <c r="L20" s="54">
        <v>1120</v>
      </c>
      <c r="M20" s="55">
        <v>920</v>
      </c>
      <c r="N20" s="55">
        <v>640</v>
      </c>
      <c r="O20" s="76">
        <v>2</v>
      </c>
      <c r="P20" s="76">
        <v>8</v>
      </c>
      <c r="Q20" s="76">
        <v>2</v>
      </c>
      <c r="R20" s="55">
        <v>16</v>
      </c>
      <c r="S20" s="55">
        <v>2</v>
      </c>
      <c r="T20" s="56">
        <v>32</v>
      </c>
      <c r="U20" s="54">
        <v>920</v>
      </c>
      <c r="V20" s="55">
        <v>1120</v>
      </c>
      <c r="W20" s="55">
        <v>640</v>
      </c>
      <c r="X20" s="76">
        <v>2</v>
      </c>
      <c r="Y20" s="76">
        <v>10</v>
      </c>
      <c r="Z20" s="76">
        <v>2</v>
      </c>
      <c r="AA20" s="55">
        <v>20</v>
      </c>
      <c r="AB20" s="55">
        <v>2</v>
      </c>
      <c r="AC20" s="56">
        <v>40</v>
      </c>
      <c r="AD20" s="54">
        <v>640</v>
      </c>
      <c r="AE20" s="55">
        <v>1120</v>
      </c>
      <c r="AF20" s="55">
        <v>920</v>
      </c>
      <c r="AG20" s="76">
        <v>1</v>
      </c>
      <c r="AH20" s="76">
        <v>10</v>
      </c>
      <c r="AI20" s="76">
        <v>4</v>
      </c>
      <c r="AJ20" s="55">
        <v>10</v>
      </c>
      <c r="AK20" s="55">
        <v>4</v>
      </c>
      <c r="AL20" s="56">
        <v>40</v>
      </c>
      <c r="AM20" s="54">
        <v>640</v>
      </c>
      <c r="AN20" s="55">
        <v>920</v>
      </c>
      <c r="AO20" s="55">
        <v>1120</v>
      </c>
      <c r="AP20" s="76">
        <v>1</v>
      </c>
      <c r="AQ20" s="76">
        <v>8</v>
      </c>
      <c r="AR20" s="76">
        <v>5</v>
      </c>
      <c r="AS20" s="55">
        <v>8</v>
      </c>
      <c r="AT20" s="55">
        <v>5</v>
      </c>
      <c r="AU20" s="56">
        <v>40</v>
      </c>
      <c r="AV20" s="54">
        <v>920</v>
      </c>
      <c r="AW20" s="55">
        <v>640</v>
      </c>
      <c r="AX20" s="55">
        <v>1120</v>
      </c>
      <c r="AY20" s="76">
        <v>2</v>
      </c>
      <c r="AZ20" s="76">
        <v>6</v>
      </c>
      <c r="BA20" s="76">
        <v>5</v>
      </c>
      <c r="BB20" s="55">
        <v>12</v>
      </c>
      <c r="BC20" s="55">
        <v>5</v>
      </c>
      <c r="BD20" s="56">
        <v>60</v>
      </c>
      <c r="BE20" s="54">
        <v>1120</v>
      </c>
      <c r="BF20" s="55">
        <v>640</v>
      </c>
      <c r="BG20" s="55">
        <v>920</v>
      </c>
      <c r="BH20" s="76">
        <v>2</v>
      </c>
      <c r="BI20" s="76">
        <v>6</v>
      </c>
      <c r="BJ20" s="76">
        <v>4</v>
      </c>
      <c r="BK20" s="55">
        <v>12</v>
      </c>
      <c r="BL20" s="55">
        <v>4</v>
      </c>
      <c r="BM20" s="56">
        <v>48</v>
      </c>
    </row>
    <row r="21" spans="1:65" x14ac:dyDescent="0.3">
      <c r="A21" s="83">
        <v>3</v>
      </c>
      <c r="B21" s="70">
        <v>14007836</v>
      </c>
      <c r="C21" s="66" t="str">
        <v>SHROUD LOWER</v>
      </c>
      <c r="D21" s="58">
        <v>435</v>
      </c>
      <c r="E21" s="58">
        <v>100</v>
      </c>
      <c r="F21" s="58">
        <v>210</v>
      </c>
      <c r="G21" s="58">
        <v>48</v>
      </c>
      <c r="H21" s="58">
        <v>1</v>
      </c>
      <c r="I21" s="58">
        <v>48</v>
      </c>
      <c r="J21" s="58">
        <v>75</v>
      </c>
      <c r="K21" s="72" t="str">
        <v>FLC ( 1200 x 800 x 975) mm</v>
      </c>
      <c r="L21" s="57">
        <v>1155</v>
      </c>
      <c r="M21" s="58">
        <v>755</v>
      </c>
      <c r="N21" s="58">
        <v>780</v>
      </c>
      <c r="O21" s="68">
        <v>2</v>
      </c>
      <c r="P21" s="68">
        <v>7</v>
      </c>
      <c r="Q21" s="68">
        <v>3</v>
      </c>
      <c r="R21" s="58">
        <v>14</v>
      </c>
      <c r="S21" s="58">
        <v>3</v>
      </c>
      <c r="T21" s="59">
        <v>42</v>
      </c>
      <c r="U21" s="57">
        <v>755</v>
      </c>
      <c r="V21" s="58">
        <v>1155</v>
      </c>
      <c r="W21" s="58">
        <v>780</v>
      </c>
      <c r="X21" s="68">
        <v>1</v>
      </c>
      <c r="Y21" s="68">
        <v>11</v>
      </c>
      <c r="Z21" s="68">
        <v>3</v>
      </c>
      <c r="AA21" s="58">
        <v>11</v>
      </c>
      <c r="AB21" s="58">
        <v>3</v>
      </c>
      <c r="AC21" s="59">
        <v>33</v>
      </c>
      <c r="AD21" s="57">
        <v>780</v>
      </c>
      <c r="AE21" s="58">
        <v>1155</v>
      </c>
      <c r="AF21" s="58">
        <v>755</v>
      </c>
      <c r="AG21" s="68">
        <v>1</v>
      </c>
      <c r="AH21" s="68">
        <v>11</v>
      </c>
      <c r="AI21" s="68">
        <v>3</v>
      </c>
      <c r="AJ21" s="58">
        <v>11</v>
      </c>
      <c r="AK21" s="58">
        <v>3</v>
      </c>
      <c r="AL21" s="59">
        <v>33</v>
      </c>
      <c r="AM21" s="57">
        <v>780</v>
      </c>
      <c r="AN21" s="58">
        <v>755</v>
      </c>
      <c r="AO21" s="58">
        <v>1155</v>
      </c>
      <c r="AP21" s="68">
        <v>1</v>
      </c>
      <c r="AQ21" s="68">
        <v>7</v>
      </c>
      <c r="AR21" s="68">
        <v>5</v>
      </c>
      <c r="AS21" s="58">
        <v>7</v>
      </c>
      <c r="AT21" s="58">
        <v>5</v>
      </c>
      <c r="AU21" s="59">
        <v>35</v>
      </c>
      <c r="AV21" s="57">
        <v>755</v>
      </c>
      <c r="AW21" s="58">
        <v>780</v>
      </c>
      <c r="AX21" s="58">
        <v>1155</v>
      </c>
      <c r="AY21" s="68">
        <v>1</v>
      </c>
      <c r="AZ21" s="68">
        <v>7</v>
      </c>
      <c r="BA21" s="68">
        <v>5</v>
      </c>
      <c r="BB21" s="58">
        <v>7</v>
      </c>
      <c r="BC21" s="58">
        <v>5</v>
      </c>
      <c r="BD21" s="59">
        <v>35</v>
      </c>
      <c r="BE21" s="57">
        <v>1155</v>
      </c>
      <c r="BF21" s="58">
        <v>780</v>
      </c>
      <c r="BG21" s="58">
        <v>755</v>
      </c>
      <c r="BH21" s="68">
        <v>2</v>
      </c>
      <c r="BI21" s="68">
        <v>7</v>
      </c>
      <c r="BJ21" s="68">
        <v>3</v>
      </c>
      <c r="BK21" s="58">
        <v>14</v>
      </c>
      <c r="BL21" s="58">
        <v>3</v>
      </c>
      <c r="BM21" s="59">
        <v>42</v>
      </c>
    </row>
    <row r="22" spans="1:65" x14ac:dyDescent="0.3">
      <c r="A22" s="83">
        <v>3</v>
      </c>
      <c r="B22" s="70">
        <v>14007836</v>
      </c>
      <c r="C22" s="66" t="str">
        <v>SHROUD LOWER</v>
      </c>
      <c r="D22" s="58">
        <v>435</v>
      </c>
      <c r="E22" s="58">
        <v>100</v>
      </c>
      <c r="F22" s="58">
        <v>210</v>
      </c>
      <c r="G22" s="58">
        <v>48</v>
      </c>
      <c r="H22" s="58">
        <v>1</v>
      </c>
      <c r="I22" s="58">
        <v>48</v>
      </c>
      <c r="J22" s="58">
        <v>75</v>
      </c>
      <c r="K22" s="72" t="str">
        <v>FCS (810 x 760 x 860)mm</v>
      </c>
      <c r="L22" s="57">
        <v>780</v>
      </c>
      <c r="M22" s="58">
        <v>730</v>
      </c>
      <c r="N22" s="58">
        <v>720</v>
      </c>
      <c r="O22" s="68">
        <v>1</v>
      </c>
      <c r="P22" s="68">
        <v>6</v>
      </c>
      <c r="Q22" s="68">
        <v>3</v>
      </c>
      <c r="R22" s="58">
        <v>6</v>
      </c>
      <c r="S22" s="58">
        <v>3</v>
      </c>
      <c r="T22" s="59">
        <v>18</v>
      </c>
      <c r="U22" s="57">
        <v>730</v>
      </c>
      <c r="V22" s="58">
        <v>780</v>
      </c>
      <c r="W22" s="58">
        <v>720</v>
      </c>
      <c r="X22" s="68">
        <v>1</v>
      </c>
      <c r="Y22" s="68">
        <v>7</v>
      </c>
      <c r="Z22" s="68">
        <v>3</v>
      </c>
      <c r="AA22" s="58">
        <v>7</v>
      </c>
      <c r="AB22" s="58">
        <v>3</v>
      </c>
      <c r="AC22" s="59">
        <v>21</v>
      </c>
      <c r="AD22" s="57">
        <v>720</v>
      </c>
      <c r="AE22" s="58">
        <v>780</v>
      </c>
      <c r="AF22" s="58">
        <v>730</v>
      </c>
      <c r="AG22" s="68">
        <v>1</v>
      </c>
      <c r="AH22" s="68">
        <v>7</v>
      </c>
      <c r="AI22" s="68">
        <v>3</v>
      </c>
      <c r="AJ22" s="58">
        <v>7</v>
      </c>
      <c r="AK22" s="58">
        <v>3</v>
      </c>
      <c r="AL22" s="59">
        <v>21</v>
      </c>
      <c r="AM22" s="57">
        <v>720</v>
      </c>
      <c r="AN22" s="58">
        <v>730</v>
      </c>
      <c r="AO22" s="58">
        <v>780</v>
      </c>
      <c r="AP22" s="68">
        <v>1</v>
      </c>
      <c r="AQ22" s="68">
        <v>6</v>
      </c>
      <c r="AR22" s="68">
        <v>3</v>
      </c>
      <c r="AS22" s="58">
        <v>6</v>
      </c>
      <c r="AT22" s="58">
        <v>3</v>
      </c>
      <c r="AU22" s="59">
        <v>18</v>
      </c>
      <c r="AV22" s="57">
        <v>730</v>
      </c>
      <c r="AW22" s="58">
        <v>720</v>
      </c>
      <c r="AX22" s="58">
        <v>780</v>
      </c>
      <c r="AY22" s="68">
        <v>1</v>
      </c>
      <c r="AZ22" s="68">
        <v>6</v>
      </c>
      <c r="BA22" s="68">
        <v>3</v>
      </c>
      <c r="BB22" s="58">
        <v>6</v>
      </c>
      <c r="BC22" s="58">
        <v>3</v>
      </c>
      <c r="BD22" s="59">
        <v>18</v>
      </c>
      <c r="BE22" s="57">
        <v>780</v>
      </c>
      <c r="BF22" s="58">
        <v>720</v>
      </c>
      <c r="BG22" s="58">
        <v>730</v>
      </c>
      <c r="BH22" s="68">
        <v>1</v>
      </c>
      <c r="BI22" s="68">
        <v>6</v>
      </c>
      <c r="BJ22" s="68">
        <v>3</v>
      </c>
      <c r="BK22" s="58">
        <v>6</v>
      </c>
      <c r="BL22" s="58">
        <v>3</v>
      </c>
      <c r="BM22" s="59">
        <v>18</v>
      </c>
    </row>
    <row r="23" spans="1:65" x14ac:dyDescent="0.3">
      <c r="A23" s="83">
        <v>3</v>
      </c>
      <c r="B23" s="70">
        <v>14007836</v>
      </c>
      <c r="C23" s="66" t="str">
        <v>SHROUD LOWER</v>
      </c>
      <c r="D23" s="58">
        <v>435</v>
      </c>
      <c r="E23" s="58">
        <v>100</v>
      </c>
      <c r="F23" s="58">
        <v>210</v>
      </c>
      <c r="G23" s="58">
        <v>48</v>
      </c>
      <c r="H23" s="58">
        <v>1</v>
      </c>
      <c r="I23" s="58">
        <v>48</v>
      </c>
      <c r="J23" s="58">
        <v>75</v>
      </c>
      <c r="K23" s="72" t="str">
        <v>Crate (600 x 400 x 120) mm</v>
      </c>
      <c r="L23" s="57">
        <v>560</v>
      </c>
      <c r="M23" s="58">
        <v>360</v>
      </c>
      <c r="N23" s="58">
        <v>105</v>
      </c>
      <c r="O23" s="68">
        <v>1</v>
      </c>
      <c r="P23" s="68">
        <v>3</v>
      </c>
      <c r="Q23" s="68">
        <v>0</v>
      </c>
      <c r="R23" s="58">
        <v>3</v>
      </c>
      <c r="S23" s="58">
        <v>0</v>
      </c>
      <c r="T23" s="59">
        <v>0</v>
      </c>
      <c r="U23" s="57">
        <v>360</v>
      </c>
      <c r="V23" s="58">
        <v>560</v>
      </c>
      <c r="W23" s="58">
        <v>105</v>
      </c>
      <c r="X23" s="68">
        <v>0</v>
      </c>
      <c r="Y23" s="68">
        <v>5</v>
      </c>
      <c r="Z23" s="68">
        <v>0</v>
      </c>
      <c r="AA23" s="58">
        <v>0</v>
      </c>
      <c r="AB23" s="58">
        <v>0</v>
      </c>
      <c r="AC23" s="59">
        <v>0</v>
      </c>
      <c r="AD23" s="57">
        <v>105</v>
      </c>
      <c r="AE23" s="58">
        <v>560</v>
      </c>
      <c r="AF23" s="58">
        <v>360</v>
      </c>
      <c r="AG23" s="68">
        <v>0</v>
      </c>
      <c r="AH23" s="68">
        <v>5</v>
      </c>
      <c r="AI23" s="68">
        <v>1</v>
      </c>
      <c r="AJ23" s="58">
        <v>0</v>
      </c>
      <c r="AK23" s="58">
        <v>1</v>
      </c>
      <c r="AL23" s="59">
        <v>0</v>
      </c>
      <c r="AM23" s="57">
        <v>105</v>
      </c>
      <c r="AN23" s="58">
        <v>360</v>
      </c>
      <c r="AO23" s="58">
        <v>560</v>
      </c>
      <c r="AP23" s="68">
        <v>0</v>
      </c>
      <c r="AQ23" s="68">
        <v>3</v>
      </c>
      <c r="AR23" s="68">
        <v>2</v>
      </c>
      <c r="AS23" s="58">
        <v>0</v>
      </c>
      <c r="AT23" s="58">
        <v>2</v>
      </c>
      <c r="AU23" s="59">
        <v>0</v>
      </c>
      <c r="AV23" s="57">
        <v>360</v>
      </c>
      <c r="AW23" s="58">
        <v>105</v>
      </c>
      <c r="AX23" s="58">
        <v>560</v>
      </c>
      <c r="AY23" s="68">
        <v>0</v>
      </c>
      <c r="AZ23" s="68">
        <v>1</v>
      </c>
      <c r="BA23" s="68">
        <v>2</v>
      </c>
      <c r="BB23" s="58">
        <v>0</v>
      </c>
      <c r="BC23" s="58">
        <v>2</v>
      </c>
      <c r="BD23" s="59">
        <v>0</v>
      </c>
      <c r="BE23" s="57">
        <v>560</v>
      </c>
      <c r="BF23" s="58">
        <v>105</v>
      </c>
      <c r="BG23" s="58">
        <v>360</v>
      </c>
      <c r="BH23" s="68">
        <v>1</v>
      </c>
      <c r="BI23" s="68">
        <v>1</v>
      </c>
      <c r="BJ23" s="68">
        <v>1</v>
      </c>
      <c r="BK23" s="58">
        <v>1</v>
      </c>
      <c r="BL23" s="58">
        <v>1</v>
      </c>
      <c r="BM23" s="59">
        <v>1</v>
      </c>
    </row>
    <row r="24" spans="1:65" x14ac:dyDescent="0.3">
      <c r="A24" s="83">
        <v>3</v>
      </c>
      <c r="B24" s="70">
        <v>14007836</v>
      </c>
      <c r="C24" s="66" t="str">
        <v>SHROUD LOWER</v>
      </c>
      <c r="D24" s="58">
        <v>435</v>
      </c>
      <c r="E24" s="58">
        <v>100</v>
      </c>
      <c r="F24" s="58">
        <v>210</v>
      </c>
      <c r="G24" s="58">
        <v>48</v>
      </c>
      <c r="H24" s="58">
        <v>1</v>
      </c>
      <c r="I24" s="58">
        <v>48</v>
      </c>
      <c r="J24" s="58">
        <v>75</v>
      </c>
      <c r="K24" s="72" t="str">
        <v>Crate (600 x 400 x 170) mm</v>
      </c>
      <c r="L24" s="57">
        <v>560</v>
      </c>
      <c r="M24" s="58">
        <v>360</v>
      </c>
      <c r="N24" s="58">
        <v>155</v>
      </c>
      <c r="O24" s="68">
        <v>1</v>
      </c>
      <c r="P24" s="68">
        <v>3</v>
      </c>
      <c r="Q24" s="68">
        <v>0</v>
      </c>
      <c r="R24" s="58">
        <v>3</v>
      </c>
      <c r="S24" s="58">
        <v>0</v>
      </c>
      <c r="T24" s="59">
        <v>0</v>
      </c>
      <c r="U24" s="57">
        <v>360</v>
      </c>
      <c r="V24" s="58">
        <v>560</v>
      </c>
      <c r="W24" s="58">
        <v>155</v>
      </c>
      <c r="X24" s="68">
        <v>0</v>
      </c>
      <c r="Y24" s="68">
        <v>5</v>
      </c>
      <c r="Z24" s="68">
        <v>0</v>
      </c>
      <c r="AA24" s="58">
        <v>0</v>
      </c>
      <c r="AB24" s="58">
        <v>0</v>
      </c>
      <c r="AC24" s="59">
        <v>0</v>
      </c>
      <c r="AD24" s="57">
        <v>155</v>
      </c>
      <c r="AE24" s="58">
        <v>560</v>
      </c>
      <c r="AF24" s="58">
        <v>360</v>
      </c>
      <c r="AG24" s="68">
        <v>0</v>
      </c>
      <c r="AH24" s="68">
        <v>5</v>
      </c>
      <c r="AI24" s="68">
        <v>1</v>
      </c>
      <c r="AJ24" s="58">
        <v>0</v>
      </c>
      <c r="AK24" s="58">
        <v>1</v>
      </c>
      <c r="AL24" s="59">
        <v>0</v>
      </c>
      <c r="AM24" s="57">
        <v>155</v>
      </c>
      <c r="AN24" s="58">
        <v>360</v>
      </c>
      <c r="AO24" s="58">
        <v>560</v>
      </c>
      <c r="AP24" s="68">
        <v>0</v>
      </c>
      <c r="AQ24" s="68">
        <v>3</v>
      </c>
      <c r="AR24" s="68">
        <v>2</v>
      </c>
      <c r="AS24" s="58">
        <v>0</v>
      </c>
      <c r="AT24" s="58">
        <v>2</v>
      </c>
      <c r="AU24" s="59">
        <v>0</v>
      </c>
      <c r="AV24" s="57">
        <v>360</v>
      </c>
      <c r="AW24" s="58">
        <v>155</v>
      </c>
      <c r="AX24" s="58">
        <v>560</v>
      </c>
      <c r="AY24" s="68">
        <v>0</v>
      </c>
      <c r="AZ24" s="68">
        <v>1</v>
      </c>
      <c r="BA24" s="68">
        <v>2</v>
      </c>
      <c r="BB24" s="58">
        <v>0</v>
      </c>
      <c r="BC24" s="58">
        <v>2</v>
      </c>
      <c r="BD24" s="59">
        <v>0</v>
      </c>
      <c r="BE24" s="57">
        <v>560</v>
      </c>
      <c r="BF24" s="58">
        <v>155</v>
      </c>
      <c r="BG24" s="58">
        <v>360</v>
      </c>
      <c r="BH24" s="68">
        <v>1</v>
      </c>
      <c r="BI24" s="68">
        <v>1</v>
      </c>
      <c r="BJ24" s="68">
        <v>1</v>
      </c>
      <c r="BK24" s="58">
        <v>1</v>
      </c>
      <c r="BL24" s="58">
        <v>1</v>
      </c>
      <c r="BM24" s="59">
        <v>1</v>
      </c>
    </row>
    <row r="25" spans="1:65" x14ac:dyDescent="0.3">
      <c r="A25" s="83">
        <v>3</v>
      </c>
      <c r="B25" s="70">
        <v>14007836</v>
      </c>
      <c r="C25" s="66" t="str">
        <v>SHROUD LOWER</v>
      </c>
      <c r="D25" s="58">
        <v>435</v>
      </c>
      <c r="E25" s="58">
        <v>100</v>
      </c>
      <c r="F25" s="58">
        <v>210</v>
      </c>
      <c r="G25" s="58">
        <v>48</v>
      </c>
      <c r="H25" s="58">
        <v>1</v>
      </c>
      <c r="I25" s="58">
        <v>48</v>
      </c>
      <c r="J25" s="58">
        <v>75</v>
      </c>
      <c r="K25" s="72" t="str">
        <v>Crate (600 x 400 x 220) mm</v>
      </c>
      <c r="L25" s="57">
        <v>560</v>
      </c>
      <c r="M25" s="58">
        <v>360</v>
      </c>
      <c r="N25" s="58">
        <v>205</v>
      </c>
      <c r="O25" s="68">
        <v>1</v>
      </c>
      <c r="P25" s="68">
        <v>3</v>
      </c>
      <c r="Q25" s="68">
        <v>0</v>
      </c>
      <c r="R25" s="58">
        <v>3</v>
      </c>
      <c r="S25" s="58">
        <v>0</v>
      </c>
      <c r="T25" s="59">
        <v>0</v>
      </c>
      <c r="U25" s="57">
        <v>360</v>
      </c>
      <c r="V25" s="58">
        <v>560</v>
      </c>
      <c r="W25" s="58">
        <v>205</v>
      </c>
      <c r="X25" s="68">
        <v>0</v>
      </c>
      <c r="Y25" s="68">
        <v>5</v>
      </c>
      <c r="Z25" s="68">
        <v>0</v>
      </c>
      <c r="AA25" s="58">
        <v>0</v>
      </c>
      <c r="AB25" s="58">
        <v>0</v>
      </c>
      <c r="AC25" s="59">
        <v>0</v>
      </c>
      <c r="AD25" s="57">
        <v>205</v>
      </c>
      <c r="AE25" s="58">
        <v>560</v>
      </c>
      <c r="AF25" s="58">
        <v>360</v>
      </c>
      <c r="AG25" s="68">
        <v>0</v>
      </c>
      <c r="AH25" s="68">
        <v>5</v>
      </c>
      <c r="AI25" s="68">
        <v>1</v>
      </c>
      <c r="AJ25" s="58">
        <v>0</v>
      </c>
      <c r="AK25" s="58">
        <v>1</v>
      </c>
      <c r="AL25" s="59">
        <v>0</v>
      </c>
      <c r="AM25" s="57">
        <v>205</v>
      </c>
      <c r="AN25" s="58">
        <v>360</v>
      </c>
      <c r="AO25" s="58">
        <v>560</v>
      </c>
      <c r="AP25" s="68">
        <v>0</v>
      </c>
      <c r="AQ25" s="68">
        <v>3</v>
      </c>
      <c r="AR25" s="68">
        <v>2</v>
      </c>
      <c r="AS25" s="58">
        <v>0</v>
      </c>
      <c r="AT25" s="58">
        <v>2</v>
      </c>
      <c r="AU25" s="59">
        <v>0</v>
      </c>
      <c r="AV25" s="57">
        <v>360</v>
      </c>
      <c r="AW25" s="58">
        <v>205</v>
      </c>
      <c r="AX25" s="58">
        <v>560</v>
      </c>
      <c r="AY25" s="68">
        <v>0</v>
      </c>
      <c r="AZ25" s="68">
        <v>1</v>
      </c>
      <c r="BA25" s="68">
        <v>2</v>
      </c>
      <c r="BB25" s="58">
        <v>0</v>
      </c>
      <c r="BC25" s="58">
        <v>2</v>
      </c>
      <c r="BD25" s="59">
        <v>0</v>
      </c>
      <c r="BE25" s="57">
        <v>560</v>
      </c>
      <c r="BF25" s="58">
        <v>205</v>
      </c>
      <c r="BG25" s="58">
        <v>360</v>
      </c>
      <c r="BH25" s="68">
        <v>1</v>
      </c>
      <c r="BI25" s="68">
        <v>1</v>
      </c>
      <c r="BJ25" s="68">
        <v>1</v>
      </c>
      <c r="BK25" s="58">
        <v>1</v>
      </c>
      <c r="BL25" s="58">
        <v>1</v>
      </c>
      <c r="BM25" s="59">
        <v>1</v>
      </c>
    </row>
    <row r="26" spans="1:65" x14ac:dyDescent="0.3">
      <c r="A26" s="83">
        <v>3</v>
      </c>
      <c r="B26" s="70">
        <v>14007836</v>
      </c>
      <c r="C26" s="66" t="str">
        <v>SHROUD LOWER</v>
      </c>
      <c r="D26" s="58">
        <v>435</v>
      </c>
      <c r="E26" s="58">
        <v>100</v>
      </c>
      <c r="F26" s="58">
        <v>210</v>
      </c>
      <c r="G26" s="58">
        <v>48</v>
      </c>
      <c r="H26" s="58">
        <v>1</v>
      </c>
      <c r="I26" s="58">
        <v>48</v>
      </c>
      <c r="J26" s="58">
        <v>75</v>
      </c>
      <c r="K26" s="72" t="str">
        <v>Crate (400 x 300 x 120) mm</v>
      </c>
      <c r="L26" s="57">
        <v>360</v>
      </c>
      <c r="M26" s="58">
        <v>260</v>
      </c>
      <c r="N26" s="58">
        <v>105</v>
      </c>
      <c r="O26" s="68">
        <v>0</v>
      </c>
      <c r="P26" s="68">
        <v>2</v>
      </c>
      <c r="Q26" s="68">
        <v>0</v>
      </c>
      <c r="R26" s="58">
        <v>0</v>
      </c>
      <c r="S26" s="58">
        <v>0</v>
      </c>
      <c r="T26" s="59">
        <v>0</v>
      </c>
      <c r="U26" s="57">
        <v>260</v>
      </c>
      <c r="V26" s="58">
        <v>360</v>
      </c>
      <c r="W26" s="58">
        <v>105</v>
      </c>
      <c r="X26" s="68">
        <v>0</v>
      </c>
      <c r="Y26" s="68">
        <v>3</v>
      </c>
      <c r="Z26" s="68">
        <v>0</v>
      </c>
      <c r="AA26" s="58">
        <v>0</v>
      </c>
      <c r="AB26" s="58">
        <v>0</v>
      </c>
      <c r="AC26" s="59">
        <v>0</v>
      </c>
      <c r="AD26" s="57">
        <v>105</v>
      </c>
      <c r="AE26" s="58">
        <v>360</v>
      </c>
      <c r="AF26" s="58">
        <v>260</v>
      </c>
      <c r="AG26" s="68">
        <v>0</v>
      </c>
      <c r="AH26" s="68">
        <v>3</v>
      </c>
      <c r="AI26" s="68">
        <v>1</v>
      </c>
      <c r="AJ26" s="58">
        <v>0</v>
      </c>
      <c r="AK26" s="58">
        <v>1</v>
      </c>
      <c r="AL26" s="59">
        <v>0</v>
      </c>
      <c r="AM26" s="57">
        <v>105</v>
      </c>
      <c r="AN26" s="58">
        <v>260</v>
      </c>
      <c r="AO26" s="58">
        <v>360</v>
      </c>
      <c r="AP26" s="68">
        <v>0</v>
      </c>
      <c r="AQ26" s="68">
        <v>2</v>
      </c>
      <c r="AR26" s="68">
        <v>1</v>
      </c>
      <c r="AS26" s="58">
        <v>0</v>
      </c>
      <c r="AT26" s="58">
        <v>1</v>
      </c>
      <c r="AU26" s="59">
        <v>0</v>
      </c>
      <c r="AV26" s="57">
        <v>260</v>
      </c>
      <c r="AW26" s="58">
        <v>105</v>
      </c>
      <c r="AX26" s="58">
        <v>360</v>
      </c>
      <c r="AY26" s="68">
        <v>0</v>
      </c>
      <c r="AZ26" s="68">
        <v>1</v>
      </c>
      <c r="BA26" s="68">
        <v>1</v>
      </c>
      <c r="BB26" s="58">
        <v>0</v>
      </c>
      <c r="BC26" s="58">
        <v>1</v>
      </c>
      <c r="BD26" s="59">
        <v>0</v>
      </c>
      <c r="BE26" s="57">
        <v>360</v>
      </c>
      <c r="BF26" s="58">
        <v>105</v>
      </c>
      <c r="BG26" s="58">
        <v>260</v>
      </c>
      <c r="BH26" s="68">
        <v>0</v>
      </c>
      <c r="BI26" s="68">
        <v>1</v>
      </c>
      <c r="BJ26" s="68">
        <v>1</v>
      </c>
      <c r="BK26" s="58">
        <v>0</v>
      </c>
      <c r="BL26" s="58">
        <v>1</v>
      </c>
      <c r="BM26" s="59">
        <v>0</v>
      </c>
    </row>
    <row r="27" spans="1:65" x14ac:dyDescent="0.3">
      <c r="A27" s="83">
        <v>3</v>
      </c>
      <c r="B27" s="70">
        <v>14007836</v>
      </c>
      <c r="C27" s="66" t="str">
        <v>SHROUD LOWER</v>
      </c>
      <c r="D27" s="58">
        <v>435</v>
      </c>
      <c r="E27" s="58">
        <v>100</v>
      </c>
      <c r="F27" s="58">
        <v>210</v>
      </c>
      <c r="G27" s="58">
        <v>48</v>
      </c>
      <c r="H27" s="58">
        <v>1</v>
      </c>
      <c r="I27" s="58">
        <v>48</v>
      </c>
      <c r="J27" s="58">
        <v>75</v>
      </c>
      <c r="K27" s="72" t="str">
        <v>Crate (400 x 300 x 170) mm</v>
      </c>
      <c r="L27" s="57">
        <v>360</v>
      </c>
      <c r="M27" s="58">
        <v>260</v>
      </c>
      <c r="N27" s="58">
        <v>155</v>
      </c>
      <c r="O27" s="68">
        <v>0</v>
      </c>
      <c r="P27" s="68">
        <v>2</v>
      </c>
      <c r="Q27" s="68">
        <v>0</v>
      </c>
      <c r="R27" s="58">
        <v>0</v>
      </c>
      <c r="S27" s="58">
        <v>0</v>
      </c>
      <c r="T27" s="59">
        <v>0</v>
      </c>
      <c r="U27" s="57">
        <v>260</v>
      </c>
      <c r="V27" s="58">
        <v>360</v>
      </c>
      <c r="W27" s="58">
        <v>155</v>
      </c>
      <c r="X27" s="68">
        <v>0</v>
      </c>
      <c r="Y27" s="68">
        <v>3</v>
      </c>
      <c r="Z27" s="68">
        <v>0</v>
      </c>
      <c r="AA27" s="58">
        <v>0</v>
      </c>
      <c r="AB27" s="58">
        <v>0</v>
      </c>
      <c r="AC27" s="59">
        <v>0</v>
      </c>
      <c r="AD27" s="57">
        <v>155</v>
      </c>
      <c r="AE27" s="58">
        <v>360</v>
      </c>
      <c r="AF27" s="58">
        <v>260</v>
      </c>
      <c r="AG27" s="68">
        <v>0</v>
      </c>
      <c r="AH27" s="68">
        <v>3</v>
      </c>
      <c r="AI27" s="68">
        <v>1</v>
      </c>
      <c r="AJ27" s="58">
        <v>0</v>
      </c>
      <c r="AK27" s="58">
        <v>1</v>
      </c>
      <c r="AL27" s="59">
        <v>0</v>
      </c>
      <c r="AM27" s="57">
        <v>155</v>
      </c>
      <c r="AN27" s="58">
        <v>260</v>
      </c>
      <c r="AO27" s="58">
        <v>360</v>
      </c>
      <c r="AP27" s="68">
        <v>0</v>
      </c>
      <c r="AQ27" s="68">
        <v>2</v>
      </c>
      <c r="AR27" s="68">
        <v>1</v>
      </c>
      <c r="AS27" s="58">
        <v>0</v>
      </c>
      <c r="AT27" s="58">
        <v>1</v>
      </c>
      <c r="AU27" s="59">
        <v>0</v>
      </c>
      <c r="AV27" s="57">
        <v>260</v>
      </c>
      <c r="AW27" s="58">
        <v>155</v>
      </c>
      <c r="AX27" s="58">
        <v>360</v>
      </c>
      <c r="AY27" s="68">
        <v>0</v>
      </c>
      <c r="AZ27" s="68">
        <v>1</v>
      </c>
      <c r="BA27" s="68">
        <v>1</v>
      </c>
      <c r="BB27" s="58">
        <v>0</v>
      </c>
      <c r="BC27" s="58">
        <v>1</v>
      </c>
      <c r="BD27" s="59">
        <v>0</v>
      </c>
      <c r="BE27" s="57">
        <v>360</v>
      </c>
      <c r="BF27" s="58">
        <v>155</v>
      </c>
      <c r="BG27" s="58">
        <v>260</v>
      </c>
      <c r="BH27" s="68">
        <v>0</v>
      </c>
      <c r="BI27" s="68">
        <v>1</v>
      </c>
      <c r="BJ27" s="68">
        <v>1</v>
      </c>
      <c r="BK27" s="58">
        <v>0</v>
      </c>
      <c r="BL27" s="58">
        <v>1</v>
      </c>
      <c r="BM27" s="59">
        <v>0</v>
      </c>
    </row>
    <row r="28" spans="1:65" ht="15" thickBot="1" x14ac:dyDescent="0.35">
      <c r="A28" s="85">
        <v>3</v>
      </c>
      <c r="B28" s="81">
        <v>14007836</v>
      </c>
      <c r="C28" s="77" t="str">
        <v>SHROUD LOWER</v>
      </c>
      <c r="D28" s="64">
        <v>435</v>
      </c>
      <c r="E28" s="64">
        <v>100</v>
      </c>
      <c r="F28" s="64">
        <v>210</v>
      </c>
      <c r="G28" s="64">
        <v>48</v>
      </c>
      <c r="H28" s="64">
        <v>1</v>
      </c>
      <c r="I28" s="64">
        <v>48</v>
      </c>
      <c r="J28" s="64">
        <v>75</v>
      </c>
      <c r="K28" s="78" t="str">
        <v>Crate (400 x 300 x 220) mm</v>
      </c>
      <c r="L28" s="63">
        <v>360</v>
      </c>
      <c r="M28" s="64">
        <v>260</v>
      </c>
      <c r="N28" s="64">
        <v>205</v>
      </c>
      <c r="O28" s="79">
        <v>0</v>
      </c>
      <c r="P28" s="79">
        <v>2</v>
      </c>
      <c r="Q28" s="79">
        <v>0</v>
      </c>
      <c r="R28" s="64">
        <v>0</v>
      </c>
      <c r="S28" s="64">
        <v>0</v>
      </c>
      <c r="T28" s="65">
        <v>0</v>
      </c>
      <c r="U28" s="63">
        <v>260</v>
      </c>
      <c r="V28" s="64">
        <v>360</v>
      </c>
      <c r="W28" s="64">
        <v>205</v>
      </c>
      <c r="X28" s="79">
        <v>0</v>
      </c>
      <c r="Y28" s="79">
        <v>3</v>
      </c>
      <c r="Z28" s="79">
        <v>0</v>
      </c>
      <c r="AA28" s="64">
        <v>0</v>
      </c>
      <c r="AB28" s="64">
        <v>0</v>
      </c>
      <c r="AC28" s="65">
        <v>0</v>
      </c>
      <c r="AD28" s="63">
        <v>205</v>
      </c>
      <c r="AE28" s="64">
        <v>360</v>
      </c>
      <c r="AF28" s="64">
        <v>260</v>
      </c>
      <c r="AG28" s="79">
        <v>0</v>
      </c>
      <c r="AH28" s="79">
        <v>3</v>
      </c>
      <c r="AI28" s="79">
        <v>1</v>
      </c>
      <c r="AJ28" s="64">
        <v>0</v>
      </c>
      <c r="AK28" s="64">
        <v>1</v>
      </c>
      <c r="AL28" s="65">
        <v>0</v>
      </c>
      <c r="AM28" s="63">
        <v>205</v>
      </c>
      <c r="AN28" s="64">
        <v>260</v>
      </c>
      <c r="AO28" s="64">
        <v>360</v>
      </c>
      <c r="AP28" s="79">
        <v>0</v>
      </c>
      <c r="AQ28" s="79">
        <v>2</v>
      </c>
      <c r="AR28" s="79">
        <v>1</v>
      </c>
      <c r="AS28" s="64">
        <v>0</v>
      </c>
      <c r="AT28" s="64">
        <v>1</v>
      </c>
      <c r="AU28" s="65">
        <v>0</v>
      </c>
      <c r="AV28" s="63">
        <v>260</v>
      </c>
      <c r="AW28" s="64">
        <v>205</v>
      </c>
      <c r="AX28" s="64">
        <v>360</v>
      </c>
      <c r="AY28" s="79">
        <v>0</v>
      </c>
      <c r="AZ28" s="79">
        <v>1</v>
      </c>
      <c r="BA28" s="79">
        <v>1</v>
      </c>
      <c r="BB28" s="64">
        <v>0</v>
      </c>
      <c r="BC28" s="64">
        <v>1</v>
      </c>
      <c r="BD28" s="65">
        <v>0</v>
      </c>
      <c r="BE28" s="63">
        <v>360</v>
      </c>
      <c r="BF28" s="64">
        <v>205</v>
      </c>
      <c r="BG28" s="64">
        <v>260</v>
      </c>
      <c r="BH28" s="79">
        <v>0</v>
      </c>
      <c r="BI28" s="79">
        <v>1</v>
      </c>
      <c r="BJ28" s="79">
        <v>1</v>
      </c>
      <c r="BK28" s="64">
        <v>0</v>
      </c>
      <c r="BL28" s="64">
        <v>1</v>
      </c>
      <c r="BM28" s="65">
        <v>0</v>
      </c>
    </row>
    <row r="29" spans="1:65" x14ac:dyDescent="0.3">
      <c r="A29" s="82">
        <v>4</v>
      </c>
      <c r="B29" s="80">
        <v>14007837</v>
      </c>
      <c r="C29" s="74" t="str">
        <v>CLUSTER BEZEL LOWER ASSY</v>
      </c>
      <c r="D29" s="55">
        <v>365</v>
      </c>
      <c r="E29" s="55">
        <v>63</v>
      </c>
      <c r="F29" s="55">
        <v>225</v>
      </c>
      <c r="G29" s="55">
        <v>96</v>
      </c>
      <c r="H29" s="55">
        <v>1</v>
      </c>
      <c r="I29" s="55">
        <v>96</v>
      </c>
      <c r="J29" s="55">
        <v>38</v>
      </c>
      <c r="K29" s="75" t="str">
        <v>FLC ( 1200 x 1000 x 800) mm</v>
      </c>
      <c r="L29" s="54">
        <v>1120</v>
      </c>
      <c r="M29" s="55">
        <v>920</v>
      </c>
      <c r="N29" s="55">
        <v>640</v>
      </c>
      <c r="O29" s="76">
        <v>3</v>
      </c>
      <c r="P29" s="76">
        <v>13</v>
      </c>
      <c r="Q29" s="76">
        <v>2</v>
      </c>
      <c r="R29" s="55">
        <v>39</v>
      </c>
      <c r="S29" s="55">
        <v>2</v>
      </c>
      <c r="T29" s="56">
        <v>78</v>
      </c>
      <c r="U29" s="54">
        <v>920</v>
      </c>
      <c r="V29" s="55">
        <v>1120</v>
      </c>
      <c r="W29" s="55">
        <v>640</v>
      </c>
      <c r="X29" s="76">
        <v>2</v>
      </c>
      <c r="Y29" s="76">
        <v>16</v>
      </c>
      <c r="Z29" s="76">
        <v>2</v>
      </c>
      <c r="AA29" s="55">
        <v>32</v>
      </c>
      <c r="AB29" s="55">
        <v>2</v>
      </c>
      <c r="AC29" s="56">
        <v>64</v>
      </c>
      <c r="AD29" s="54">
        <v>640</v>
      </c>
      <c r="AE29" s="55">
        <v>1120</v>
      </c>
      <c r="AF29" s="55">
        <v>920</v>
      </c>
      <c r="AG29" s="76">
        <v>1</v>
      </c>
      <c r="AH29" s="76">
        <v>16</v>
      </c>
      <c r="AI29" s="76">
        <v>4</v>
      </c>
      <c r="AJ29" s="55">
        <v>16</v>
      </c>
      <c r="AK29" s="55">
        <v>4</v>
      </c>
      <c r="AL29" s="56">
        <v>64</v>
      </c>
      <c r="AM29" s="54">
        <v>640</v>
      </c>
      <c r="AN29" s="55">
        <v>920</v>
      </c>
      <c r="AO29" s="55">
        <v>1120</v>
      </c>
      <c r="AP29" s="76">
        <v>1</v>
      </c>
      <c r="AQ29" s="76">
        <v>13</v>
      </c>
      <c r="AR29" s="76">
        <v>4</v>
      </c>
      <c r="AS29" s="55">
        <v>13</v>
      </c>
      <c r="AT29" s="55">
        <v>4</v>
      </c>
      <c r="AU29" s="56">
        <v>52</v>
      </c>
      <c r="AV29" s="54">
        <v>920</v>
      </c>
      <c r="AW29" s="55">
        <v>640</v>
      </c>
      <c r="AX29" s="55">
        <v>1120</v>
      </c>
      <c r="AY29" s="76">
        <v>2</v>
      </c>
      <c r="AZ29" s="76">
        <v>9</v>
      </c>
      <c r="BA29" s="76">
        <v>4</v>
      </c>
      <c r="BB29" s="55">
        <v>18</v>
      </c>
      <c r="BC29" s="55">
        <v>4</v>
      </c>
      <c r="BD29" s="56">
        <v>72</v>
      </c>
      <c r="BE29" s="54">
        <v>1120</v>
      </c>
      <c r="BF29" s="55">
        <v>640</v>
      </c>
      <c r="BG29" s="55">
        <v>920</v>
      </c>
      <c r="BH29" s="76">
        <v>3</v>
      </c>
      <c r="BI29" s="76">
        <v>9</v>
      </c>
      <c r="BJ29" s="76">
        <v>4</v>
      </c>
      <c r="BK29" s="55">
        <v>27</v>
      </c>
      <c r="BL29" s="55">
        <v>4</v>
      </c>
      <c r="BM29" s="56">
        <v>108</v>
      </c>
    </row>
    <row r="30" spans="1:65" x14ac:dyDescent="0.3">
      <c r="A30" s="83">
        <v>4</v>
      </c>
      <c r="B30" s="70">
        <v>14007837</v>
      </c>
      <c r="C30" s="66" t="str">
        <v>CLUSTER BEZEL LOWER ASSY</v>
      </c>
      <c r="D30" s="58">
        <v>365</v>
      </c>
      <c r="E30" s="58">
        <v>63</v>
      </c>
      <c r="F30" s="58">
        <v>225</v>
      </c>
      <c r="G30" s="58">
        <v>96</v>
      </c>
      <c r="H30" s="58">
        <v>1</v>
      </c>
      <c r="I30" s="58">
        <v>96</v>
      </c>
      <c r="J30" s="58">
        <v>38</v>
      </c>
      <c r="K30" s="72" t="str">
        <v>FLC ( 1200 x 800 x 975) mm</v>
      </c>
      <c r="L30" s="57">
        <v>1155</v>
      </c>
      <c r="M30" s="58">
        <v>755</v>
      </c>
      <c r="N30" s="58">
        <v>780</v>
      </c>
      <c r="O30" s="68">
        <v>3</v>
      </c>
      <c r="P30" s="68">
        <v>11</v>
      </c>
      <c r="Q30" s="68">
        <v>3</v>
      </c>
      <c r="R30" s="58">
        <v>33</v>
      </c>
      <c r="S30" s="58">
        <v>3</v>
      </c>
      <c r="T30" s="59">
        <v>99</v>
      </c>
      <c r="U30" s="57">
        <v>755</v>
      </c>
      <c r="V30" s="58">
        <v>1155</v>
      </c>
      <c r="W30" s="58">
        <v>780</v>
      </c>
      <c r="X30" s="68">
        <v>2</v>
      </c>
      <c r="Y30" s="68">
        <v>16</v>
      </c>
      <c r="Z30" s="68">
        <v>3</v>
      </c>
      <c r="AA30" s="58">
        <v>32</v>
      </c>
      <c r="AB30" s="58">
        <v>3</v>
      </c>
      <c r="AC30" s="59">
        <v>96</v>
      </c>
      <c r="AD30" s="57">
        <v>780</v>
      </c>
      <c r="AE30" s="58">
        <v>1155</v>
      </c>
      <c r="AF30" s="58">
        <v>755</v>
      </c>
      <c r="AG30" s="68">
        <v>2</v>
      </c>
      <c r="AH30" s="68">
        <v>16</v>
      </c>
      <c r="AI30" s="68">
        <v>3</v>
      </c>
      <c r="AJ30" s="58">
        <v>32</v>
      </c>
      <c r="AK30" s="58">
        <v>3</v>
      </c>
      <c r="AL30" s="59">
        <v>96</v>
      </c>
      <c r="AM30" s="57">
        <v>780</v>
      </c>
      <c r="AN30" s="58">
        <v>755</v>
      </c>
      <c r="AO30" s="58">
        <v>1155</v>
      </c>
      <c r="AP30" s="68">
        <v>2</v>
      </c>
      <c r="AQ30" s="68">
        <v>11</v>
      </c>
      <c r="AR30" s="68">
        <v>5</v>
      </c>
      <c r="AS30" s="58">
        <v>22</v>
      </c>
      <c r="AT30" s="58">
        <v>5</v>
      </c>
      <c r="AU30" s="59">
        <v>110</v>
      </c>
      <c r="AV30" s="57">
        <v>755</v>
      </c>
      <c r="AW30" s="58">
        <v>780</v>
      </c>
      <c r="AX30" s="58">
        <v>1155</v>
      </c>
      <c r="AY30" s="68">
        <v>2</v>
      </c>
      <c r="AZ30" s="68">
        <v>11</v>
      </c>
      <c r="BA30" s="68">
        <v>5</v>
      </c>
      <c r="BB30" s="58">
        <v>22</v>
      </c>
      <c r="BC30" s="58">
        <v>5</v>
      </c>
      <c r="BD30" s="59">
        <v>110</v>
      </c>
      <c r="BE30" s="57">
        <v>1155</v>
      </c>
      <c r="BF30" s="58">
        <v>780</v>
      </c>
      <c r="BG30" s="58">
        <v>755</v>
      </c>
      <c r="BH30" s="68">
        <v>3</v>
      </c>
      <c r="BI30" s="68">
        <v>11</v>
      </c>
      <c r="BJ30" s="68">
        <v>3</v>
      </c>
      <c r="BK30" s="58">
        <v>33</v>
      </c>
      <c r="BL30" s="58">
        <v>3</v>
      </c>
      <c r="BM30" s="59">
        <v>99</v>
      </c>
    </row>
    <row r="31" spans="1:65" x14ac:dyDescent="0.3">
      <c r="A31" s="83">
        <v>4</v>
      </c>
      <c r="B31" s="70">
        <v>14007837</v>
      </c>
      <c r="C31" s="66" t="str">
        <v>CLUSTER BEZEL LOWER ASSY</v>
      </c>
      <c r="D31" s="58">
        <v>365</v>
      </c>
      <c r="E31" s="58">
        <v>63</v>
      </c>
      <c r="F31" s="58">
        <v>225</v>
      </c>
      <c r="G31" s="58">
        <v>96</v>
      </c>
      <c r="H31" s="58">
        <v>1</v>
      </c>
      <c r="I31" s="58">
        <v>96</v>
      </c>
      <c r="J31" s="58">
        <v>38</v>
      </c>
      <c r="K31" s="72" t="str">
        <v>FCS (810 x 760 x 860)mm</v>
      </c>
      <c r="L31" s="57">
        <v>780</v>
      </c>
      <c r="M31" s="58">
        <v>730</v>
      </c>
      <c r="N31" s="58">
        <v>720</v>
      </c>
      <c r="O31" s="68">
        <v>2</v>
      </c>
      <c r="P31" s="68">
        <v>10</v>
      </c>
      <c r="Q31" s="68">
        <v>3</v>
      </c>
      <c r="R31" s="58">
        <v>20</v>
      </c>
      <c r="S31" s="58">
        <v>3</v>
      </c>
      <c r="T31" s="59">
        <v>60</v>
      </c>
      <c r="U31" s="57">
        <v>730</v>
      </c>
      <c r="V31" s="58">
        <v>780</v>
      </c>
      <c r="W31" s="58">
        <v>720</v>
      </c>
      <c r="X31" s="68">
        <v>1</v>
      </c>
      <c r="Y31" s="68">
        <v>11</v>
      </c>
      <c r="Z31" s="68">
        <v>3</v>
      </c>
      <c r="AA31" s="58">
        <v>11</v>
      </c>
      <c r="AB31" s="58">
        <v>3</v>
      </c>
      <c r="AC31" s="59">
        <v>33</v>
      </c>
      <c r="AD31" s="57">
        <v>720</v>
      </c>
      <c r="AE31" s="58">
        <v>780</v>
      </c>
      <c r="AF31" s="58">
        <v>730</v>
      </c>
      <c r="AG31" s="68">
        <v>1</v>
      </c>
      <c r="AH31" s="68">
        <v>11</v>
      </c>
      <c r="AI31" s="68">
        <v>3</v>
      </c>
      <c r="AJ31" s="58">
        <v>11</v>
      </c>
      <c r="AK31" s="58">
        <v>3</v>
      </c>
      <c r="AL31" s="59">
        <v>33</v>
      </c>
      <c r="AM31" s="57">
        <v>720</v>
      </c>
      <c r="AN31" s="58">
        <v>730</v>
      </c>
      <c r="AO31" s="58">
        <v>780</v>
      </c>
      <c r="AP31" s="68">
        <v>1</v>
      </c>
      <c r="AQ31" s="68">
        <v>10</v>
      </c>
      <c r="AR31" s="68">
        <v>3</v>
      </c>
      <c r="AS31" s="58">
        <v>10</v>
      </c>
      <c r="AT31" s="58">
        <v>3</v>
      </c>
      <c r="AU31" s="59">
        <v>30</v>
      </c>
      <c r="AV31" s="57">
        <v>730</v>
      </c>
      <c r="AW31" s="58">
        <v>720</v>
      </c>
      <c r="AX31" s="58">
        <v>780</v>
      </c>
      <c r="AY31" s="68">
        <v>1</v>
      </c>
      <c r="AZ31" s="68">
        <v>10</v>
      </c>
      <c r="BA31" s="68">
        <v>3</v>
      </c>
      <c r="BB31" s="58">
        <v>10</v>
      </c>
      <c r="BC31" s="58">
        <v>3</v>
      </c>
      <c r="BD31" s="59">
        <v>30</v>
      </c>
      <c r="BE31" s="57">
        <v>780</v>
      </c>
      <c r="BF31" s="58">
        <v>720</v>
      </c>
      <c r="BG31" s="58">
        <v>730</v>
      </c>
      <c r="BH31" s="68">
        <v>2</v>
      </c>
      <c r="BI31" s="68">
        <v>10</v>
      </c>
      <c r="BJ31" s="68">
        <v>3</v>
      </c>
      <c r="BK31" s="58">
        <v>20</v>
      </c>
      <c r="BL31" s="58">
        <v>3</v>
      </c>
      <c r="BM31" s="59">
        <v>60</v>
      </c>
    </row>
    <row r="32" spans="1:65" x14ac:dyDescent="0.3">
      <c r="A32" s="83">
        <v>4</v>
      </c>
      <c r="B32" s="70">
        <v>14007837</v>
      </c>
      <c r="C32" s="66" t="str">
        <v>CLUSTER BEZEL LOWER ASSY</v>
      </c>
      <c r="D32" s="58">
        <v>365</v>
      </c>
      <c r="E32" s="58">
        <v>63</v>
      </c>
      <c r="F32" s="58">
        <v>225</v>
      </c>
      <c r="G32" s="58">
        <v>96</v>
      </c>
      <c r="H32" s="58">
        <v>1</v>
      </c>
      <c r="I32" s="58">
        <v>96</v>
      </c>
      <c r="J32" s="58">
        <v>38</v>
      </c>
      <c r="K32" s="72" t="str">
        <v>Crate (600 x 400 x 120) mm</v>
      </c>
      <c r="L32" s="57">
        <v>560</v>
      </c>
      <c r="M32" s="58">
        <v>360</v>
      </c>
      <c r="N32" s="58">
        <v>105</v>
      </c>
      <c r="O32" s="68">
        <v>1</v>
      </c>
      <c r="P32" s="68">
        <v>5</v>
      </c>
      <c r="Q32" s="68">
        <v>0</v>
      </c>
      <c r="R32" s="58">
        <v>5</v>
      </c>
      <c r="S32" s="58">
        <v>0</v>
      </c>
      <c r="T32" s="59">
        <v>0</v>
      </c>
      <c r="U32" s="57">
        <v>360</v>
      </c>
      <c r="V32" s="58">
        <v>560</v>
      </c>
      <c r="W32" s="58">
        <v>105</v>
      </c>
      <c r="X32" s="68">
        <v>0</v>
      </c>
      <c r="Y32" s="68">
        <v>8</v>
      </c>
      <c r="Z32" s="68">
        <v>0</v>
      </c>
      <c r="AA32" s="58">
        <v>0</v>
      </c>
      <c r="AB32" s="58">
        <v>0</v>
      </c>
      <c r="AC32" s="59">
        <v>0</v>
      </c>
      <c r="AD32" s="57">
        <v>105</v>
      </c>
      <c r="AE32" s="58">
        <v>560</v>
      </c>
      <c r="AF32" s="58">
        <v>360</v>
      </c>
      <c r="AG32" s="68">
        <v>0</v>
      </c>
      <c r="AH32" s="68">
        <v>8</v>
      </c>
      <c r="AI32" s="68">
        <v>1</v>
      </c>
      <c r="AJ32" s="58">
        <v>0</v>
      </c>
      <c r="AK32" s="58">
        <v>1</v>
      </c>
      <c r="AL32" s="59">
        <v>0</v>
      </c>
      <c r="AM32" s="57">
        <v>105</v>
      </c>
      <c r="AN32" s="58">
        <v>360</v>
      </c>
      <c r="AO32" s="58">
        <v>560</v>
      </c>
      <c r="AP32" s="68">
        <v>0</v>
      </c>
      <c r="AQ32" s="68">
        <v>5</v>
      </c>
      <c r="AR32" s="68">
        <v>2</v>
      </c>
      <c r="AS32" s="58">
        <v>0</v>
      </c>
      <c r="AT32" s="58">
        <v>2</v>
      </c>
      <c r="AU32" s="59">
        <v>0</v>
      </c>
      <c r="AV32" s="57">
        <v>360</v>
      </c>
      <c r="AW32" s="58">
        <v>105</v>
      </c>
      <c r="AX32" s="58">
        <v>560</v>
      </c>
      <c r="AY32" s="68">
        <v>0</v>
      </c>
      <c r="AZ32" s="68">
        <v>1</v>
      </c>
      <c r="BA32" s="68">
        <v>2</v>
      </c>
      <c r="BB32" s="58">
        <v>0</v>
      </c>
      <c r="BC32" s="58">
        <v>2</v>
      </c>
      <c r="BD32" s="59">
        <v>0</v>
      </c>
      <c r="BE32" s="57">
        <v>560</v>
      </c>
      <c r="BF32" s="58">
        <v>105</v>
      </c>
      <c r="BG32" s="58">
        <v>360</v>
      </c>
      <c r="BH32" s="68">
        <v>1</v>
      </c>
      <c r="BI32" s="68">
        <v>1</v>
      </c>
      <c r="BJ32" s="68">
        <v>1</v>
      </c>
      <c r="BK32" s="58">
        <v>1</v>
      </c>
      <c r="BL32" s="58">
        <v>1</v>
      </c>
      <c r="BM32" s="59">
        <v>1</v>
      </c>
    </row>
    <row r="33" spans="1:65" x14ac:dyDescent="0.3">
      <c r="A33" s="83">
        <v>4</v>
      </c>
      <c r="B33" s="70">
        <v>14007837</v>
      </c>
      <c r="C33" s="66" t="str">
        <v>CLUSTER BEZEL LOWER ASSY</v>
      </c>
      <c r="D33" s="58">
        <v>365</v>
      </c>
      <c r="E33" s="58">
        <v>63</v>
      </c>
      <c r="F33" s="58">
        <v>225</v>
      </c>
      <c r="G33" s="58">
        <v>96</v>
      </c>
      <c r="H33" s="58">
        <v>1</v>
      </c>
      <c r="I33" s="58">
        <v>96</v>
      </c>
      <c r="J33" s="58">
        <v>38</v>
      </c>
      <c r="K33" s="72" t="str">
        <v>Crate (600 x 400 x 170) mm</v>
      </c>
      <c r="L33" s="57">
        <v>560</v>
      </c>
      <c r="M33" s="58">
        <v>360</v>
      </c>
      <c r="N33" s="58">
        <v>155</v>
      </c>
      <c r="O33" s="68">
        <v>1</v>
      </c>
      <c r="P33" s="68">
        <v>5</v>
      </c>
      <c r="Q33" s="68">
        <v>0</v>
      </c>
      <c r="R33" s="58">
        <v>5</v>
      </c>
      <c r="S33" s="58">
        <v>0</v>
      </c>
      <c r="T33" s="59">
        <v>0</v>
      </c>
      <c r="U33" s="57">
        <v>360</v>
      </c>
      <c r="V33" s="58">
        <v>560</v>
      </c>
      <c r="W33" s="58">
        <v>155</v>
      </c>
      <c r="X33" s="68">
        <v>0</v>
      </c>
      <c r="Y33" s="68">
        <v>8</v>
      </c>
      <c r="Z33" s="68">
        <v>0</v>
      </c>
      <c r="AA33" s="58">
        <v>0</v>
      </c>
      <c r="AB33" s="58">
        <v>0</v>
      </c>
      <c r="AC33" s="59">
        <v>0</v>
      </c>
      <c r="AD33" s="57">
        <v>155</v>
      </c>
      <c r="AE33" s="58">
        <v>560</v>
      </c>
      <c r="AF33" s="58">
        <v>360</v>
      </c>
      <c r="AG33" s="68">
        <v>0</v>
      </c>
      <c r="AH33" s="68">
        <v>8</v>
      </c>
      <c r="AI33" s="68">
        <v>1</v>
      </c>
      <c r="AJ33" s="58">
        <v>0</v>
      </c>
      <c r="AK33" s="58">
        <v>1</v>
      </c>
      <c r="AL33" s="59">
        <v>0</v>
      </c>
      <c r="AM33" s="57">
        <v>155</v>
      </c>
      <c r="AN33" s="58">
        <v>360</v>
      </c>
      <c r="AO33" s="58">
        <v>560</v>
      </c>
      <c r="AP33" s="68">
        <v>0</v>
      </c>
      <c r="AQ33" s="68">
        <v>5</v>
      </c>
      <c r="AR33" s="68">
        <v>2</v>
      </c>
      <c r="AS33" s="58">
        <v>0</v>
      </c>
      <c r="AT33" s="58">
        <v>2</v>
      </c>
      <c r="AU33" s="59">
        <v>0</v>
      </c>
      <c r="AV33" s="57">
        <v>360</v>
      </c>
      <c r="AW33" s="58">
        <v>155</v>
      </c>
      <c r="AX33" s="58">
        <v>560</v>
      </c>
      <c r="AY33" s="68">
        <v>0</v>
      </c>
      <c r="AZ33" s="68">
        <v>2</v>
      </c>
      <c r="BA33" s="68">
        <v>2</v>
      </c>
      <c r="BB33" s="58">
        <v>0</v>
      </c>
      <c r="BC33" s="58">
        <v>2</v>
      </c>
      <c r="BD33" s="59">
        <v>0</v>
      </c>
      <c r="BE33" s="57">
        <v>560</v>
      </c>
      <c r="BF33" s="58">
        <v>155</v>
      </c>
      <c r="BG33" s="58">
        <v>360</v>
      </c>
      <c r="BH33" s="68">
        <v>1</v>
      </c>
      <c r="BI33" s="68">
        <v>2</v>
      </c>
      <c r="BJ33" s="68">
        <v>1</v>
      </c>
      <c r="BK33" s="58">
        <v>2</v>
      </c>
      <c r="BL33" s="58">
        <v>1</v>
      </c>
      <c r="BM33" s="59">
        <v>2</v>
      </c>
    </row>
    <row r="34" spans="1:65" x14ac:dyDescent="0.3">
      <c r="A34" s="83">
        <v>4</v>
      </c>
      <c r="B34" s="70">
        <v>14007837</v>
      </c>
      <c r="C34" s="66" t="str">
        <v>CLUSTER BEZEL LOWER ASSY</v>
      </c>
      <c r="D34" s="58">
        <v>365</v>
      </c>
      <c r="E34" s="58">
        <v>63</v>
      </c>
      <c r="F34" s="58">
        <v>225</v>
      </c>
      <c r="G34" s="58">
        <v>96</v>
      </c>
      <c r="H34" s="58">
        <v>1</v>
      </c>
      <c r="I34" s="58">
        <v>96</v>
      </c>
      <c r="J34" s="58">
        <v>38</v>
      </c>
      <c r="K34" s="72" t="str">
        <v>Crate (600 x 400 x 220) mm</v>
      </c>
      <c r="L34" s="57">
        <v>560</v>
      </c>
      <c r="M34" s="58">
        <v>360</v>
      </c>
      <c r="N34" s="58">
        <v>205</v>
      </c>
      <c r="O34" s="68">
        <v>1</v>
      </c>
      <c r="P34" s="68">
        <v>5</v>
      </c>
      <c r="Q34" s="68">
        <v>0</v>
      </c>
      <c r="R34" s="58">
        <v>5</v>
      </c>
      <c r="S34" s="58">
        <v>0</v>
      </c>
      <c r="T34" s="59">
        <v>0</v>
      </c>
      <c r="U34" s="57">
        <v>360</v>
      </c>
      <c r="V34" s="58">
        <v>560</v>
      </c>
      <c r="W34" s="58">
        <v>205</v>
      </c>
      <c r="X34" s="68">
        <v>0</v>
      </c>
      <c r="Y34" s="68">
        <v>8</v>
      </c>
      <c r="Z34" s="68">
        <v>0</v>
      </c>
      <c r="AA34" s="58">
        <v>0</v>
      </c>
      <c r="AB34" s="58">
        <v>0</v>
      </c>
      <c r="AC34" s="59">
        <v>0</v>
      </c>
      <c r="AD34" s="57">
        <v>205</v>
      </c>
      <c r="AE34" s="58">
        <v>560</v>
      </c>
      <c r="AF34" s="58">
        <v>360</v>
      </c>
      <c r="AG34" s="68">
        <v>0</v>
      </c>
      <c r="AH34" s="68">
        <v>8</v>
      </c>
      <c r="AI34" s="68">
        <v>1</v>
      </c>
      <c r="AJ34" s="58">
        <v>0</v>
      </c>
      <c r="AK34" s="58">
        <v>1</v>
      </c>
      <c r="AL34" s="59">
        <v>0</v>
      </c>
      <c r="AM34" s="57">
        <v>205</v>
      </c>
      <c r="AN34" s="58">
        <v>360</v>
      </c>
      <c r="AO34" s="58">
        <v>560</v>
      </c>
      <c r="AP34" s="68">
        <v>0</v>
      </c>
      <c r="AQ34" s="68">
        <v>5</v>
      </c>
      <c r="AR34" s="68">
        <v>2</v>
      </c>
      <c r="AS34" s="58">
        <v>0</v>
      </c>
      <c r="AT34" s="58">
        <v>2</v>
      </c>
      <c r="AU34" s="59">
        <v>0</v>
      </c>
      <c r="AV34" s="57">
        <v>360</v>
      </c>
      <c r="AW34" s="58">
        <v>205</v>
      </c>
      <c r="AX34" s="58">
        <v>560</v>
      </c>
      <c r="AY34" s="68">
        <v>0</v>
      </c>
      <c r="AZ34" s="68">
        <v>3</v>
      </c>
      <c r="BA34" s="68">
        <v>2</v>
      </c>
      <c r="BB34" s="58">
        <v>0</v>
      </c>
      <c r="BC34" s="58">
        <v>2</v>
      </c>
      <c r="BD34" s="59">
        <v>0</v>
      </c>
      <c r="BE34" s="57">
        <v>560</v>
      </c>
      <c r="BF34" s="58">
        <v>205</v>
      </c>
      <c r="BG34" s="58">
        <v>360</v>
      </c>
      <c r="BH34" s="68">
        <v>1</v>
      </c>
      <c r="BI34" s="68">
        <v>3</v>
      </c>
      <c r="BJ34" s="68">
        <v>1</v>
      </c>
      <c r="BK34" s="58">
        <v>3</v>
      </c>
      <c r="BL34" s="58">
        <v>1</v>
      </c>
      <c r="BM34" s="59">
        <v>3</v>
      </c>
    </row>
    <row r="35" spans="1:65" x14ac:dyDescent="0.3">
      <c r="A35" s="83">
        <v>4</v>
      </c>
      <c r="B35" s="70">
        <v>14007837</v>
      </c>
      <c r="C35" s="66" t="str">
        <v>CLUSTER BEZEL LOWER ASSY</v>
      </c>
      <c r="D35" s="58">
        <v>365</v>
      </c>
      <c r="E35" s="58">
        <v>63</v>
      </c>
      <c r="F35" s="58">
        <v>225</v>
      </c>
      <c r="G35" s="58">
        <v>96</v>
      </c>
      <c r="H35" s="58">
        <v>1</v>
      </c>
      <c r="I35" s="58">
        <v>96</v>
      </c>
      <c r="J35" s="58">
        <v>38</v>
      </c>
      <c r="K35" s="72" t="str">
        <v>Crate (400 x 300 x 120) mm</v>
      </c>
      <c r="L35" s="57">
        <v>360</v>
      </c>
      <c r="M35" s="58">
        <v>260</v>
      </c>
      <c r="N35" s="58">
        <v>105</v>
      </c>
      <c r="O35" s="68">
        <v>0</v>
      </c>
      <c r="P35" s="68">
        <v>3</v>
      </c>
      <c r="Q35" s="68">
        <v>0</v>
      </c>
      <c r="R35" s="58">
        <v>0</v>
      </c>
      <c r="S35" s="58">
        <v>0</v>
      </c>
      <c r="T35" s="59">
        <v>0</v>
      </c>
      <c r="U35" s="57">
        <v>260</v>
      </c>
      <c r="V35" s="58">
        <v>360</v>
      </c>
      <c r="W35" s="58">
        <v>105</v>
      </c>
      <c r="X35" s="68">
        <v>0</v>
      </c>
      <c r="Y35" s="68">
        <v>5</v>
      </c>
      <c r="Z35" s="68">
        <v>0</v>
      </c>
      <c r="AA35" s="58">
        <v>0</v>
      </c>
      <c r="AB35" s="58">
        <v>0</v>
      </c>
      <c r="AC35" s="59">
        <v>0</v>
      </c>
      <c r="AD35" s="57">
        <v>105</v>
      </c>
      <c r="AE35" s="58">
        <v>360</v>
      </c>
      <c r="AF35" s="58">
        <v>260</v>
      </c>
      <c r="AG35" s="68">
        <v>0</v>
      </c>
      <c r="AH35" s="68">
        <v>5</v>
      </c>
      <c r="AI35" s="68">
        <v>1</v>
      </c>
      <c r="AJ35" s="58">
        <v>0</v>
      </c>
      <c r="AK35" s="58">
        <v>1</v>
      </c>
      <c r="AL35" s="59">
        <v>0</v>
      </c>
      <c r="AM35" s="57">
        <v>105</v>
      </c>
      <c r="AN35" s="58">
        <v>260</v>
      </c>
      <c r="AO35" s="58">
        <v>360</v>
      </c>
      <c r="AP35" s="68">
        <v>0</v>
      </c>
      <c r="AQ35" s="68">
        <v>3</v>
      </c>
      <c r="AR35" s="68">
        <v>1</v>
      </c>
      <c r="AS35" s="58">
        <v>0</v>
      </c>
      <c r="AT35" s="58">
        <v>1</v>
      </c>
      <c r="AU35" s="59">
        <v>0</v>
      </c>
      <c r="AV35" s="57">
        <v>260</v>
      </c>
      <c r="AW35" s="58">
        <v>105</v>
      </c>
      <c r="AX35" s="58">
        <v>360</v>
      </c>
      <c r="AY35" s="68">
        <v>0</v>
      </c>
      <c r="AZ35" s="68">
        <v>1</v>
      </c>
      <c r="BA35" s="68">
        <v>1</v>
      </c>
      <c r="BB35" s="58">
        <v>0</v>
      </c>
      <c r="BC35" s="58">
        <v>1</v>
      </c>
      <c r="BD35" s="59">
        <v>0</v>
      </c>
      <c r="BE35" s="57">
        <v>360</v>
      </c>
      <c r="BF35" s="58">
        <v>105</v>
      </c>
      <c r="BG35" s="58">
        <v>260</v>
      </c>
      <c r="BH35" s="68">
        <v>0</v>
      </c>
      <c r="BI35" s="68">
        <v>1</v>
      </c>
      <c r="BJ35" s="68">
        <v>1</v>
      </c>
      <c r="BK35" s="58">
        <v>0</v>
      </c>
      <c r="BL35" s="58">
        <v>1</v>
      </c>
      <c r="BM35" s="59">
        <v>0</v>
      </c>
    </row>
    <row r="36" spans="1:65" x14ac:dyDescent="0.3">
      <c r="A36" s="83">
        <v>4</v>
      </c>
      <c r="B36" s="70">
        <v>14007837</v>
      </c>
      <c r="C36" s="66" t="str">
        <v>CLUSTER BEZEL LOWER ASSY</v>
      </c>
      <c r="D36" s="58">
        <v>365</v>
      </c>
      <c r="E36" s="58">
        <v>63</v>
      </c>
      <c r="F36" s="58">
        <v>225</v>
      </c>
      <c r="G36" s="58">
        <v>96</v>
      </c>
      <c r="H36" s="58">
        <v>1</v>
      </c>
      <c r="I36" s="58">
        <v>96</v>
      </c>
      <c r="J36" s="58">
        <v>38</v>
      </c>
      <c r="K36" s="72" t="str">
        <v>Crate (400 x 300 x 170) mm</v>
      </c>
      <c r="L36" s="57">
        <v>360</v>
      </c>
      <c r="M36" s="58">
        <v>260</v>
      </c>
      <c r="N36" s="58">
        <v>155</v>
      </c>
      <c r="O36" s="68">
        <v>0</v>
      </c>
      <c r="P36" s="68">
        <v>3</v>
      </c>
      <c r="Q36" s="68">
        <v>0</v>
      </c>
      <c r="R36" s="58">
        <v>0</v>
      </c>
      <c r="S36" s="58">
        <v>0</v>
      </c>
      <c r="T36" s="59">
        <v>0</v>
      </c>
      <c r="U36" s="57">
        <v>260</v>
      </c>
      <c r="V36" s="58">
        <v>360</v>
      </c>
      <c r="W36" s="58">
        <v>155</v>
      </c>
      <c r="X36" s="68">
        <v>0</v>
      </c>
      <c r="Y36" s="68">
        <v>5</v>
      </c>
      <c r="Z36" s="68">
        <v>0</v>
      </c>
      <c r="AA36" s="58">
        <v>0</v>
      </c>
      <c r="AB36" s="58">
        <v>0</v>
      </c>
      <c r="AC36" s="59">
        <v>0</v>
      </c>
      <c r="AD36" s="57">
        <v>155</v>
      </c>
      <c r="AE36" s="58">
        <v>360</v>
      </c>
      <c r="AF36" s="58">
        <v>260</v>
      </c>
      <c r="AG36" s="68">
        <v>0</v>
      </c>
      <c r="AH36" s="68">
        <v>5</v>
      </c>
      <c r="AI36" s="68">
        <v>1</v>
      </c>
      <c r="AJ36" s="58">
        <v>0</v>
      </c>
      <c r="AK36" s="58">
        <v>1</v>
      </c>
      <c r="AL36" s="59">
        <v>0</v>
      </c>
      <c r="AM36" s="57">
        <v>155</v>
      </c>
      <c r="AN36" s="58">
        <v>260</v>
      </c>
      <c r="AO36" s="58">
        <v>360</v>
      </c>
      <c r="AP36" s="68">
        <v>0</v>
      </c>
      <c r="AQ36" s="68">
        <v>3</v>
      </c>
      <c r="AR36" s="68">
        <v>1</v>
      </c>
      <c r="AS36" s="58">
        <v>0</v>
      </c>
      <c r="AT36" s="58">
        <v>1</v>
      </c>
      <c r="AU36" s="59">
        <v>0</v>
      </c>
      <c r="AV36" s="57">
        <v>260</v>
      </c>
      <c r="AW36" s="58">
        <v>155</v>
      </c>
      <c r="AX36" s="58">
        <v>360</v>
      </c>
      <c r="AY36" s="68">
        <v>0</v>
      </c>
      <c r="AZ36" s="68">
        <v>2</v>
      </c>
      <c r="BA36" s="68">
        <v>1</v>
      </c>
      <c r="BB36" s="58">
        <v>0</v>
      </c>
      <c r="BC36" s="58">
        <v>1</v>
      </c>
      <c r="BD36" s="59">
        <v>0</v>
      </c>
      <c r="BE36" s="57">
        <v>360</v>
      </c>
      <c r="BF36" s="58">
        <v>155</v>
      </c>
      <c r="BG36" s="58">
        <v>260</v>
      </c>
      <c r="BH36" s="68">
        <v>0</v>
      </c>
      <c r="BI36" s="68">
        <v>2</v>
      </c>
      <c r="BJ36" s="68">
        <v>1</v>
      </c>
      <c r="BK36" s="58">
        <v>0</v>
      </c>
      <c r="BL36" s="58">
        <v>1</v>
      </c>
      <c r="BM36" s="59">
        <v>0</v>
      </c>
    </row>
    <row r="37" spans="1:65" ht="15" thickBot="1" x14ac:dyDescent="0.35">
      <c r="A37" s="85">
        <v>4</v>
      </c>
      <c r="B37" s="81">
        <v>14007837</v>
      </c>
      <c r="C37" s="77" t="str">
        <v>CLUSTER BEZEL LOWER ASSY</v>
      </c>
      <c r="D37" s="64">
        <v>365</v>
      </c>
      <c r="E37" s="64">
        <v>63</v>
      </c>
      <c r="F37" s="64">
        <v>225</v>
      </c>
      <c r="G37" s="64">
        <v>96</v>
      </c>
      <c r="H37" s="64">
        <v>1</v>
      </c>
      <c r="I37" s="64">
        <v>96</v>
      </c>
      <c r="J37" s="64">
        <v>38</v>
      </c>
      <c r="K37" s="78" t="str">
        <v>Crate (400 x 300 x 220) mm</v>
      </c>
      <c r="L37" s="63">
        <v>360</v>
      </c>
      <c r="M37" s="64">
        <v>260</v>
      </c>
      <c r="N37" s="64">
        <v>205</v>
      </c>
      <c r="O37" s="79">
        <v>0</v>
      </c>
      <c r="P37" s="79">
        <v>3</v>
      </c>
      <c r="Q37" s="79">
        <v>0</v>
      </c>
      <c r="R37" s="64">
        <v>0</v>
      </c>
      <c r="S37" s="64">
        <v>0</v>
      </c>
      <c r="T37" s="65">
        <v>0</v>
      </c>
      <c r="U37" s="63">
        <v>260</v>
      </c>
      <c r="V37" s="64">
        <v>360</v>
      </c>
      <c r="W37" s="64">
        <v>205</v>
      </c>
      <c r="X37" s="79">
        <v>0</v>
      </c>
      <c r="Y37" s="79">
        <v>5</v>
      </c>
      <c r="Z37" s="79">
        <v>0</v>
      </c>
      <c r="AA37" s="64">
        <v>0</v>
      </c>
      <c r="AB37" s="64">
        <v>0</v>
      </c>
      <c r="AC37" s="65">
        <v>0</v>
      </c>
      <c r="AD37" s="63">
        <v>205</v>
      </c>
      <c r="AE37" s="64">
        <v>360</v>
      </c>
      <c r="AF37" s="64">
        <v>260</v>
      </c>
      <c r="AG37" s="79">
        <v>0</v>
      </c>
      <c r="AH37" s="79">
        <v>5</v>
      </c>
      <c r="AI37" s="79">
        <v>1</v>
      </c>
      <c r="AJ37" s="64">
        <v>0</v>
      </c>
      <c r="AK37" s="64">
        <v>1</v>
      </c>
      <c r="AL37" s="65">
        <v>0</v>
      </c>
      <c r="AM37" s="63">
        <v>205</v>
      </c>
      <c r="AN37" s="64">
        <v>260</v>
      </c>
      <c r="AO37" s="64">
        <v>360</v>
      </c>
      <c r="AP37" s="79">
        <v>0</v>
      </c>
      <c r="AQ37" s="79">
        <v>3</v>
      </c>
      <c r="AR37" s="79">
        <v>1</v>
      </c>
      <c r="AS37" s="64">
        <v>0</v>
      </c>
      <c r="AT37" s="64">
        <v>1</v>
      </c>
      <c r="AU37" s="65">
        <v>0</v>
      </c>
      <c r="AV37" s="63">
        <v>260</v>
      </c>
      <c r="AW37" s="64">
        <v>205</v>
      </c>
      <c r="AX37" s="64">
        <v>360</v>
      </c>
      <c r="AY37" s="79">
        <v>0</v>
      </c>
      <c r="AZ37" s="79">
        <v>3</v>
      </c>
      <c r="BA37" s="79">
        <v>1</v>
      </c>
      <c r="BB37" s="64">
        <v>0</v>
      </c>
      <c r="BC37" s="64">
        <v>1</v>
      </c>
      <c r="BD37" s="65">
        <v>0</v>
      </c>
      <c r="BE37" s="63">
        <v>360</v>
      </c>
      <c r="BF37" s="64">
        <v>205</v>
      </c>
      <c r="BG37" s="64">
        <v>260</v>
      </c>
      <c r="BH37" s="79">
        <v>0</v>
      </c>
      <c r="BI37" s="79">
        <v>3</v>
      </c>
      <c r="BJ37" s="79">
        <v>1</v>
      </c>
      <c r="BK37" s="64">
        <v>0</v>
      </c>
      <c r="BL37" s="64">
        <v>1</v>
      </c>
      <c r="BM37" s="65">
        <v>0</v>
      </c>
    </row>
    <row r="38" spans="1:65" x14ac:dyDescent="0.3">
      <c r="A38" s="82">
        <v>5</v>
      </c>
      <c r="B38" s="80">
        <v>14007838</v>
      </c>
      <c r="C38" s="74" t="str">
        <v>DRIVER SIDE BOOSTER COVER ASSY</v>
      </c>
      <c r="D38" s="55">
        <v>410</v>
      </c>
      <c r="E38" s="55">
        <v>280</v>
      </c>
      <c r="F38" s="55">
        <v>160</v>
      </c>
      <c r="G38" s="55">
        <v>16</v>
      </c>
      <c r="H38" s="55">
        <v>1</v>
      </c>
      <c r="I38" s="55">
        <v>16</v>
      </c>
      <c r="J38" s="55">
        <v>202</v>
      </c>
      <c r="K38" s="75" t="str">
        <v>FLC ( 1200 x 1000 x 800) mm</v>
      </c>
      <c r="L38" s="54">
        <v>1120</v>
      </c>
      <c r="M38" s="55">
        <v>920</v>
      </c>
      <c r="N38" s="55">
        <v>640</v>
      </c>
      <c r="O38" s="76">
        <v>2</v>
      </c>
      <c r="P38" s="76">
        <v>3</v>
      </c>
      <c r="Q38" s="76">
        <v>3</v>
      </c>
      <c r="R38" s="55">
        <v>6</v>
      </c>
      <c r="S38" s="55">
        <v>3</v>
      </c>
      <c r="T38" s="56">
        <v>18</v>
      </c>
      <c r="U38" s="54">
        <v>920</v>
      </c>
      <c r="V38" s="55">
        <v>1120</v>
      </c>
      <c r="W38" s="55">
        <v>640</v>
      </c>
      <c r="X38" s="76">
        <v>2</v>
      </c>
      <c r="Y38" s="76">
        <v>3</v>
      </c>
      <c r="Z38" s="76">
        <v>3</v>
      </c>
      <c r="AA38" s="55">
        <v>6</v>
      </c>
      <c r="AB38" s="55">
        <v>3</v>
      </c>
      <c r="AC38" s="56">
        <v>18</v>
      </c>
      <c r="AD38" s="54">
        <v>640</v>
      </c>
      <c r="AE38" s="55">
        <v>1120</v>
      </c>
      <c r="AF38" s="55">
        <v>920</v>
      </c>
      <c r="AG38" s="76">
        <v>1</v>
      </c>
      <c r="AH38" s="76">
        <v>3</v>
      </c>
      <c r="AI38" s="76">
        <v>5</v>
      </c>
      <c r="AJ38" s="55">
        <v>3</v>
      </c>
      <c r="AK38" s="55">
        <v>5</v>
      </c>
      <c r="AL38" s="56">
        <v>15</v>
      </c>
      <c r="AM38" s="54">
        <v>640</v>
      </c>
      <c r="AN38" s="55">
        <v>920</v>
      </c>
      <c r="AO38" s="55">
        <v>1120</v>
      </c>
      <c r="AP38" s="76">
        <v>1</v>
      </c>
      <c r="AQ38" s="76">
        <v>3</v>
      </c>
      <c r="AR38" s="76">
        <v>6</v>
      </c>
      <c r="AS38" s="55">
        <v>3</v>
      </c>
      <c r="AT38" s="55">
        <v>6</v>
      </c>
      <c r="AU38" s="56">
        <v>18</v>
      </c>
      <c r="AV38" s="54">
        <v>920</v>
      </c>
      <c r="AW38" s="55">
        <v>640</v>
      </c>
      <c r="AX38" s="55">
        <v>1120</v>
      </c>
      <c r="AY38" s="76">
        <v>2</v>
      </c>
      <c r="AZ38" s="76">
        <v>2</v>
      </c>
      <c r="BA38" s="76">
        <v>6</v>
      </c>
      <c r="BB38" s="55">
        <v>4</v>
      </c>
      <c r="BC38" s="55">
        <v>6</v>
      </c>
      <c r="BD38" s="56">
        <v>24</v>
      </c>
      <c r="BE38" s="54">
        <v>1120</v>
      </c>
      <c r="BF38" s="55">
        <v>640</v>
      </c>
      <c r="BG38" s="55">
        <v>920</v>
      </c>
      <c r="BH38" s="76">
        <v>2</v>
      </c>
      <c r="BI38" s="76">
        <v>2</v>
      </c>
      <c r="BJ38" s="76">
        <v>5</v>
      </c>
      <c r="BK38" s="55">
        <v>4</v>
      </c>
      <c r="BL38" s="55">
        <v>5</v>
      </c>
      <c r="BM38" s="56">
        <v>20</v>
      </c>
    </row>
    <row r="39" spans="1:65" x14ac:dyDescent="0.3">
      <c r="A39" s="83">
        <v>5</v>
      </c>
      <c r="B39" s="70">
        <v>14007838</v>
      </c>
      <c r="C39" s="66" t="str">
        <v>DRIVER SIDE BOOSTER COVER ASSY</v>
      </c>
      <c r="D39" s="58">
        <v>410</v>
      </c>
      <c r="E39" s="58">
        <v>280</v>
      </c>
      <c r="F39" s="58">
        <v>160</v>
      </c>
      <c r="G39" s="58">
        <v>16</v>
      </c>
      <c r="H39" s="58">
        <v>1</v>
      </c>
      <c r="I39" s="58">
        <v>16</v>
      </c>
      <c r="J39" s="58">
        <v>202</v>
      </c>
      <c r="K39" s="72" t="str">
        <v>FLC ( 1200 x 800 x 975) mm</v>
      </c>
      <c r="L39" s="57">
        <v>1155</v>
      </c>
      <c r="M39" s="58">
        <v>755</v>
      </c>
      <c r="N39" s="58">
        <v>780</v>
      </c>
      <c r="O39" s="68">
        <v>2</v>
      </c>
      <c r="P39" s="68">
        <v>2</v>
      </c>
      <c r="Q39" s="68">
        <v>4</v>
      </c>
      <c r="R39" s="58">
        <v>4</v>
      </c>
      <c r="S39" s="58">
        <v>4</v>
      </c>
      <c r="T39" s="59">
        <v>16</v>
      </c>
      <c r="U39" s="57">
        <v>755</v>
      </c>
      <c r="V39" s="58">
        <v>1155</v>
      </c>
      <c r="W39" s="58">
        <v>780</v>
      </c>
      <c r="X39" s="68">
        <v>1</v>
      </c>
      <c r="Y39" s="68">
        <v>4</v>
      </c>
      <c r="Z39" s="68">
        <v>4</v>
      </c>
      <c r="AA39" s="58">
        <v>4</v>
      </c>
      <c r="AB39" s="58">
        <v>4</v>
      </c>
      <c r="AC39" s="59">
        <v>16</v>
      </c>
      <c r="AD39" s="57">
        <v>780</v>
      </c>
      <c r="AE39" s="58">
        <v>1155</v>
      </c>
      <c r="AF39" s="58">
        <v>755</v>
      </c>
      <c r="AG39" s="68">
        <v>1</v>
      </c>
      <c r="AH39" s="68">
        <v>4</v>
      </c>
      <c r="AI39" s="68">
        <v>4</v>
      </c>
      <c r="AJ39" s="58">
        <v>4</v>
      </c>
      <c r="AK39" s="58">
        <v>4</v>
      </c>
      <c r="AL39" s="59">
        <v>16</v>
      </c>
      <c r="AM39" s="57">
        <v>780</v>
      </c>
      <c r="AN39" s="58">
        <v>755</v>
      </c>
      <c r="AO39" s="58">
        <v>1155</v>
      </c>
      <c r="AP39" s="68">
        <v>1</v>
      </c>
      <c r="AQ39" s="68">
        <v>2</v>
      </c>
      <c r="AR39" s="68">
        <v>7</v>
      </c>
      <c r="AS39" s="58">
        <v>2</v>
      </c>
      <c r="AT39" s="58">
        <v>7</v>
      </c>
      <c r="AU39" s="59">
        <v>14</v>
      </c>
      <c r="AV39" s="57">
        <v>755</v>
      </c>
      <c r="AW39" s="58">
        <v>780</v>
      </c>
      <c r="AX39" s="58">
        <v>1155</v>
      </c>
      <c r="AY39" s="68">
        <v>1</v>
      </c>
      <c r="AZ39" s="68">
        <v>2</v>
      </c>
      <c r="BA39" s="68">
        <v>7</v>
      </c>
      <c r="BB39" s="58">
        <v>2</v>
      </c>
      <c r="BC39" s="58">
        <v>7</v>
      </c>
      <c r="BD39" s="59">
        <v>14</v>
      </c>
      <c r="BE39" s="57">
        <v>1155</v>
      </c>
      <c r="BF39" s="58">
        <v>780</v>
      </c>
      <c r="BG39" s="58">
        <v>755</v>
      </c>
      <c r="BH39" s="68">
        <v>2</v>
      </c>
      <c r="BI39" s="68">
        <v>2</v>
      </c>
      <c r="BJ39" s="68">
        <v>4</v>
      </c>
      <c r="BK39" s="58">
        <v>4</v>
      </c>
      <c r="BL39" s="58">
        <v>4</v>
      </c>
      <c r="BM39" s="59">
        <v>16</v>
      </c>
    </row>
    <row r="40" spans="1:65" x14ac:dyDescent="0.3">
      <c r="A40" s="83">
        <v>5</v>
      </c>
      <c r="B40" s="70">
        <v>14007838</v>
      </c>
      <c r="C40" s="66" t="str">
        <v>DRIVER SIDE BOOSTER COVER ASSY</v>
      </c>
      <c r="D40" s="58">
        <v>410</v>
      </c>
      <c r="E40" s="58">
        <v>280</v>
      </c>
      <c r="F40" s="58">
        <v>160</v>
      </c>
      <c r="G40" s="58">
        <v>16</v>
      </c>
      <c r="H40" s="58">
        <v>1</v>
      </c>
      <c r="I40" s="58">
        <v>16</v>
      </c>
      <c r="J40" s="58">
        <v>202</v>
      </c>
      <c r="K40" s="72" t="str">
        <v>FCS (810 x 760 x 860)mm</v>
      </c>
      <c r="L40" s="57">
        <v>780</v>
      </c>
      <c r="M40" s="58">
        <v>730</v>
      </c>
      <c r="N40" s="58">
        <v>720</v>
      </c>
      <c r="O40" s="68">
        <v>1</v>
      </c>
      <c r="P40" s="68">
        <v>2</v>
      </c>
      <c r="Q40" s="68">
        <v>4</v>
      </c>
      <c r="R40" s="58">
        <v>2</v>
      </c>
      <c r="S40" s="58">
        <v>4</v>
      </c>
      <c r="T40" s="59">
        <v>8</v>
      </c>
      <c r="U40" s="57">
        <v>730</v>
      </c>
      <c r="V40" s="58">
        <v>780</v>
      </c>
      <c r="W40" s="58">
        <v>720</v>
      </c>
      <c r="X40" s="68">
        <v>1</v>
      </c>
      <c r="Y40" s="68">
        <v>2</v>
      </c>
      <c r="Z40" s="68">
        <v>4</v>
      </c>
      <c r="AA40" s="58">
        <v>2</v>
      </c>
      <c r="AB40" s="58">
        <v>4</v>
      </c>
      <c r="AC40" s="59">
        <v>8</v>
      </c>
      <c r="AD40" s="57">
        <v>720</v>
      </c>
      <c r="AE40" s="58">
        <v>780</v>
      </c>
      <c r="AF40" s="58">
        <v>730</v>
      </c>
      <c r="AG40" s="68">
        <v>1</v>
      </c>
      <c r="AH40" s="68">
        <v>2</v>
      </c>
      <c r="AI40" s="68">
        <v>4</v>
      </c>
      <c r="AJ40" s="58">
        <v>2</v>
      </c>
      <c r="AK40" s="58">
        <v>4</v>
      </c>
      <c r="AL40" s="59">
        <v>8</v>
      </c>
      <c r="AM40" s="57">
        <v>720</v>
      </c>
      <c r="AN40" s="58">
        <v>730</v>
      </c>
      <c r="AO40" s="58">
        <v>780</v>
      </c>
      <c r="AP40" s="68">
        <v>1</v>
      </c>
      <c r="AQ40" s="68">
        <v>2</v>
      </c>
      <c r="AR40" s="68">
        <v>4</v>
      </c>
      <c r="AS40" s="58">
        <v>2</v>
      </c>
      <c r="AT40" s="58">
        <v>4</v>
      </c>
      <c r="AU40" s="59">
        <v>8</v>
      </c>
      <c r="AV40" s="57">
        <v>730</v>
      </c>
      <c r="AW40" s="58">
        <v>720</v>
      </c>
      <c r="AX40" s="58">
        <v>780</v>
      </c>
      <c r="AY40" s="68">
        <v>1</v>
      </c>
      <c r="AZ40" s="68">
        <v>2</v>
      </c>
      <c r="BA40" s="68">
        <v>4</v>
      </c>
      <c r="BB40" s="58">
        <v>2</v>
      </c>
      <c r="BC40" s="58">
        <v>4</v>
      </c>
      <c r="BD40" s="59">
        <v>8</v>
      </c>
      <c r="BE40" s="57">
        <v>780</v>
      </c>
      <c r="BF40" s="58">
        <v>720</v>
      </c>
      <c r="BG40" s="58">
        <v>730</v>
      </c>
      <c r="BH40" s="68">
        <v>1</v>
      </c>
      <c r="BI40" s="68">
        <v>2</v>
      </c>
      <c r="BJ40" s="68">
        <v>4</v>
      </c>
      <c r="BK40" s="58">
        <v>2</v>
      </c>
      <c r="BL40" s="58">
        <v>4</v>
      </c>
      <c r="BM40" s="59">
        <v>8</v>
      </c>
    </row>
    <row r="41" spans="1:65" x14ac:dyDescent="0.3">
      <c r="A41" s="83">
        <v>5</v>
      </c>
      <c r="B41" s="70">
        <v>14007838</v>
      </c>
      <c r="C41" s="66" t="str">
        <v>DRIVER SIDE BOOSTER COVER ASSY</v>
      </c>
      <c r="D41" s="58">
        <v>410</v>
      </c>
      <c r="E41" s="58">
        <v>280</v>
      </c>
      <c r="F41" s="58">
        <v>160</v>
      </c>
      <c r="G41" s="58">
        <v>16</v>
      </c>
      <c r="H41" s="58">
        <v>1</v>
      </c>
      <c r="I41" s="58">
        <v>16</v>
      </c>
      <c r="J41" s="58">
        <v>202</v>
      </c>
      <c r="K41" s="72" t="str">
        <v>Crate (600 x 400 x 120) mm</v>
      </c>
      <c r="L41" s="57">
        <v>560</v>
      </c>
      <c r="M41" s="58">
        <v>360</v>
      </c>
      <c r="N41" s="58">
        <v>105</v>
      </c>
      <c r="O41" s="68">
        <v>1</v>
      </c>
      <c r="P41" s="68">
        <v>1</v>
      </c>
      <c r="Q41" s="68">
        <v>0</v>
      </c>
      <c r="R41" s="58">
        <v>1</v>
      </c>
      <c r="S41" s="58">
        <v>0</v>
      </c>
      <c r="T41" s="59">
        <v>0</v>
      </c>
      <c r="U41" s="57">
        <v>360</v>
      </c>
      <c r="V41" s="58">
        <v>560</v>
      </c>
      <c r="W41" s="58">
        <v>105</v>
      </c>
      <c r="X41" s="68">
        <v>0</v>
      </c>
      <c r="Y41" s="68">
        <v>1</v>
      </c>
      <c r="Z41" s="68">
        <v>0</v>
      </c>
      <c r="AA41" s="58">
        <v>0</v>
      </c>
      <c r="AB41" s="58">
        <v>0</v>
      </c>
      <c r="AC41" s="59">
        <v>0</v>
      </c>
      <c r="AD41" s="57">
        <v>105</v>
      </c>
      <c r="AE41" s="58">
        <v>560</v>
      </c>
      <c r="AF41" s="58">
        <v>360</v>
      </c>
      <c r="AG41" s="68">
        <v>0</v>
      </c>
      <c r="AH41" s="68">
        <v>1</v>
      </c>
      <c r="AI41" s="68">
        <v>2</v>
      </c>
      <c r="AJ41" s="58">
        <v>0</v>
      </c>
      <c r="AK41" s="58">
        <v>2</v>
      </c>
      <c r="AL41" s="59">
        <v>0</v>
      </c>
      <c r="AM41" s="57">
        <v>105</v>
      </c>
      <c r="AN41" s="58">
        <v>360</v>
      </c>
      <c r="AO41" s="58">
        <v>560</v>
      </c>
      <c r="AP41" s="68">
        <v>0</v>
      </c>
      <c r="AQ41" s="68">
        <v>1</v>
      </c>
      <c r="AR41" s="68">
        <v>3</v>
      </c>
      <c r="AS41" s="58">
        <v>0</v>
      </c>
      <c r="AT41" s="58">
        <v>3</v>
      </c>
      <c r="AU41" s="59">
        <v>0</v>
      </c>
      <c r="AV41" s="57">
        <v>360</v>
      </c>
      <c r="AW41" s="58">
        <v>105</v>
      </c>
      <c r="AX41" s="58">
        <v>560</v>
      </c>
      <c r="AY41" s="68">
        <v>0</v>
      </c>
      <c r="AZ41" s="68">
        <v>0</v>
      </c>
      <c r="BA41" s="68">
        <v>3</v>
      </c>
      <c r="BB41" s="58">
        <v>0</v>
      </c>
      <c r="BC41" s="58">
        <v>3</v>
      </c>
      <c r="BD41" s="59">
        <v>0</v>
      </c>
      <c r="BE41" s="57">
        <v>560</v>
      </c>
      <c r="BF41" s="58">
        <v>105</v>
      </c>
      <c r="BG41" s="58">
        <v>360</v>
      </c>
      <c r="BH41" s="68">
        <v>1</v>
      </c>
      <c r="BI41" s="68">
        <v>0</v>
      </c>
      <c r="BJ41" s="68">
        <v>2</v>
      </c>
      <c r="BK41" s="58">
        <v>0</v>
      </c>
      <c r="BL41" s="58">
        <v>2</v>
      </c>
      <c r="BM41" s="59">
        <v>0</v>
      </c>
    </row>
    <row r="42" spans="1:65" x14ac:dyDescent="0.3">
      <c r="A42" s="83">
        <v>5</v>
      </c>
      <c r="B42" s="70">
        <v>14007838</v>
      </c>
      <c r="C42" s="66" t="str">
        <v>DRIVER SIDE BOOSTER COVER ASSY</v>
      </c>
      <c r="D42" s="58">
        <v>410</v>
      </c>
      <c r="E42" s="58">
        <v>280</v>
      </c>
      <c r="F42" s="58">
        <v>160</v>
      </c>
      <c r="G42" s="58">
        <v>16</v>
      </c>
      <c r="H42" s="58">
        <v>1</v>
      </c>
      <c r="I42" s="58">
        <v>16</v>
      </c>
      <c r="J42" s="58">
        <v>202</v>
      </c>
      <c r="K42" s="72" t="str">
        <v>Crate (600 x 400 x 170) mm</v>
      </c>
      <c r="L42" s="57">
        <v>560</v>
      </c>
      <c r="M42" s="58">
        <v>360</v>
      </c>
      <c r="N42" s="58">
        <v>155</v>
      </c>
      <c r="O42" s="68">
        <v>1</v>
      </c>
      <c r="P42" s="68">
        <v>1</v>
      </c>
      <c r="Q42" s="68">
        <v>0</v>
      </c>
      <c r="R42" s="58">
        <v>1</v>
      </c>
      <c r="S42" s="58">
        <v>0</v>
      </c>
      <c r="T42" s="59">
        <v>0</v>
      </c>
      <c r="U42" s="57">
        <v>360</v>
      </c>
      <c r="V42" s="58">
        <v>560</v>
      </c>
      <c r="W42" s="58">
        <v>155</v>
      </c>
      <c r="X42" s="68">
        <v>0</v>
      </c>
      <c r="Y42" s="68">
        <v>1</v>
      </c>
      <c r="Z42" s="68">
        <v>0</v>
      </c>
      <c r="AA42" s="58">
        <v>0</v>
      </c>
      <c r="AB42" s="58">
        <v>0</v>
      </c>
      <c r="AC42" s="59">
        <v>0</v>
      </c>
      <c r="AD42" s="57">
        <v>155</v>
      </c>
      <c r="AE42" s="58">
        <v>560</v>
      </c>
      <c r="AF42" s="58">
        <v>360</v>
      </c>
      <c r="AG42" s="68">
        <v>0</v>
      </c>
      <c r="AH42" s="68">
        <v>1</v>
      </c>
      <c r="AI42" s="68">
        <v>2</v>
      </c>
      <c r="AJ42" s="58">
        <v>0</v>
      </c>
      <c r="AK42" s="58">
        <v>2</v>
      </c>
      <c r="AL42" s="59">
        <v>0</v>
      </c>
      <c r="AM42" s="57">
        <v>155</v>
      </c>
      <c r="AN42" s="58">
        <v>360</v>
      </c>
      <c r="AO42" s="58">
        <v>560</v>
      </c>
      <c r="AP42" s="68">
        <v>0</v>
      </c>
      <c r="AQ42" s="68">
        <v>1</v>
      </c>
      <c r="AR42" s="68">
        <v>3</v>
      </c>
      <c r="AS42" s="58">
        <v>0</v>
      </c>
      <c r="AT42" s="58">
        <v>3</v>
      </c>
      <c r="AU42" s="59">
        <v>0</v>
      </c>
      <c r="AV42" s="57">
        <v>360</v>
      </c>
      <c r="AW42" s="58">
        <v>155</v>
      </c>
      <c r="AX42" s="58">
        <v>560</v>
      </c>
      <c r="AY42" s="68">
        <v>0</v>
      </c>
      <c r="AZ42" s="68">
        <v>0</v>
      </c>
      <c r="BA42" s="68">
        <v>3</v>
      </c>
      <c r="BB42" s="58">
        <v>0</v>
      </c>
      <c r="BC42" s="58">
        <v>3</v>
      </c>
      <c r="BD42" s="59">
        <v>0</v>
      </c>
      <c r="BE42" s="57">
        <v>560</v>
      </c>
      <c r="BF42" s="58">
        <v>155</v>
      </c>
      <c r="BG42" s="58">
        <v>360</v>
      </c>
      <c r="BH42" s="68">
        <v>1</v>
      </c>
      <c r="BI42" s="68">
        <v>0</v>
      </c>
      <c r="BJ42" s="68">
        <v>2</v>
      </c>
      <c r="BK42" s="58">
        <v>0</v>
      </c>
      <c r="BL42" s="58">
        <v>2</v>
      </c>
      <c r="BM42" s="59">
        <v>0</v>
      </c>
    </row>
    <row r="43" spans="1:65" x14ac:dyDescent="0.3">
      <c r="A43" s="83">
        <v>5</v>
      </c>
      <c r="B43" s="70">
        <v>14007838</v>
      </c>
      <c r="C43" s="66" t="str">
        <v>DRIVER SIDE BOOSTER COVER ASSY</v>
      </c>
      <c r="D43" s="58">
        <v>410</v>
      </c>
      <c r="E43" s="58">
        <v>280</v>
      </c>
      <c r="F43" s="58">
        <v>160</v>
      </c>
      <c r="G43" s="58">
        <v>16</v>
      </c>
      <c r="H43" s="58">
        <v>1</v>
      </c>
      <c r="I43" s="58">
        <v>16</v>
      </c>
      <c r="J43" s="58">
        <v>202</v>
      </c>
      <c r="K43" s="72" t="str">
        <v>Crate (600 x 400 x 220) mm</v>
      </c>
      <c r="L43" s="57">
        <v>560</v>
      </c>
      <c r="M43" s="58">
        <v>360</v>
      </c>
      <c r="N43" s="58">
        <v>205</v>
      </c>
      <c r="O43" s="68">
        <v>1</v>
      </c>
      <c r="P43" s="68">
        <v>1</v>
      </c>
      <c r="Q43" s="68">
        <v>1</v>
      </c>
      <c r="R43" s="58">
        <v>1</v>
      </c>
      <c r="S43" s="58">
        <v>1</v>
      </c>
      <c r="T43" s="59">
        <v>1</v>
      </c>
      <c r="U43" s="57">
        <v>360</v>
      </c>
      <c r="V43" s="58">
        <v>560</v>
      </c>
      <c r="W43" s="58">
        <v>205</v>
      </c>
      <c r="X43" s="68">
        <v>0</v>
      </c>
      <c r="Y43" s="68">
        <v>1</v>
      </c>
      <c r="Z43" s="68">
        <v>1</v>
      </c>
      <c r="AA43" s="58">
        <v>0</v>
      </c>
      <c r="AB43" s="58">
        <v>1</v>
      </c>
      <c r="AC43" s="59">
        <v>0</v>
      </c>
      <c r="AD43" s="57">
        <v>205</v>
      </c>
      <c r="AE43" s="58">
        <v>560</v>
      </c>
      <c r="AF43" s="58">
        <v>360</v>
      </c>
      <c r="AG43" s="68">
        <v>0</v>
      </c>
      <c r="AH43" s="68">
        <v>1</v>
      </c>
      <c r="AI43" s="68">
        <v>2</v>
      </c>
      <c r="AJ43" s="58">
        <v>0</v>
      </c>
      <c r="AK43" s="58">
        <v>2</v>
      </c>
      <c r="AL43" s="59">
        <v>0</v>
      </c>
      <c r="AM43" s="57">
        <v>205</v>
      </c>
      <c r="AN43" s="58">
        <v>360</v>
      </c>
      <c r="AO43" s="58">
        <v>560</v>
      </c>
      <c r="AP43" s="68">
        <v>0</v>
      </c>
      <c r="AQ43" s="68">
        <v>1</v>
      </c>
      <c r="AR43" s="68">
        <v>3</v>
      </c>
      <c r="AS43" s="58">
        <v>0</v>
      </c>
      <c r="AT43" s="58">
        <v>3</v>
      </c>
      <c r="AU43" s="59">
        <v>0</v>
      </c>
      <c r="AV43" s="57">
        <v>360</v>
      </c>
      <c r="AW43" s="58">
        <v>205</v>
      </c>
      <c r="AX43" s="58">
        <v>560</v>
      </c>
      <c r="AY43" s="68">
        <v>0</v>
      </c>
      <c r="AZ43" s="68">
        <v>0</v>
      </c>
      <c r="BA43" s="68">
        <v>3</v>
      </c>
      <c r="BB43" s="58">
        <v>0</v>
      </c>
      <c r="BC43" s="58">
        <v>3</v>
      </c>
      <c r="BD43" s="59">
        <v>0</v>
      </c>
      <c r="BE43" s="57">
        <v>560</v>
      </c>
      <c r="BF43" s="58">
        <v>205</v>
      </c>
      <c r="BG43" s="58">
        <v>360</v>
      </c>
      <c r="BH43" s="68">
        <v>1</v>
      </c>
      <c r="BI43" s="68">
        <v>0</v>
      </c>
      <c r="BJ43" s="68">
        <v>2</v>
      </c>
      <c r="BK43" s="58">
        <v>0</v>
      </c>
      <c r="BL43" s="58">
        <v>2</v>
      </c>
      <c r="BM43" s="59">
        <v>0</v>
      </c>
    </row>
    <row r="44" spans="1:65" x14ac:dyDescent="0.3">
      <c r="A44" s="83">
        <v>5</v>
      </c>
      <c r="B44" s="70">
        <v>14007838</v>
      </c>
      <c r="C44" s="66" t="str">
        <v>DRIVER SIDE BOOSTER COVER ASSY</v>
      </c>
      <c r="D44" s="58">
        <v>410</v>
      </c>
      <c r="E44" s="58">
        <v>280</v>
      </c>
      <c r="F44" s="58">
        <v>160</v>
      </c>
      <c r="G44" s="58">
        <v>16</v>
      </c>
      <c r="H44" s="58">
        <v>1</v>
      </c>
      <c r="I44" s="58">
        <v>16</v>
      </c>
      <c r="J44" s="58">
        <v>202</v>
      </c>
      <c r="K44" s="72" t="str">
        <v>Crate (400 x 300 x 120) mm</v>
      </c>
      <c r="L44" s="57">
        <v>360</v>
      </c>
      <c r="M44" s="58">
        <v>260</v>
      </c>
      <c r="N44" s="58">
        <v>105</v>
      </c>
      <c r="O44" s="68">
        <v>0</v>
      </c>
      <c r="P44" s="68">
        <v>0</v>
      </c>
      <c r="Q44" s="68">
        <v>0</v>
      </c>
      <c r="R44" s="58">
        <v>0</v>
      </c>
      <c r="S44" s="58">
        <v>0</v>
      </c>
      <c r="T44" s="59">
        <v>0</v>
      </c>
      <c r="U44" s="57">
        <v>260</v>
      </c>
      <c r="V44" s="58">
        <v>360</v>
      </c>
      <c r="W44" s="58">
        <v>105</v>
      </c>
      <c r="X44" s="68">
        <v>0</v>
      </c>
      <c r="Y44" s="68">
        <v>1</v>
      </c>
      <c r="Z44" s="68">
        <v>0</v>
      </c>
      <c r="AA44" s="58">
        <v>0</v>
      </c>
      <c r="AB44" s="58">
        <v>0</v>
      </c>
      <c r="AC44" s="59">
        <v>0</v>
      </c>
      <c r="AD44" s="57">
        <v>105</v>
      </c>
      <c r="AE44" s="58">
        <v>360</v>
      </c>
      <c r="AF44" s="58">
        <v>260</v>
      </c>
      <c r="AG44" s="68">
        <v>0</v>
      </c>
      <c r="AH44" s="68">
        <v>1</v>
      </c>
      <c r="AI44" s="68">
        <v>1</v>
      </c>
      <c r="AJ44" s="58">
        <v>0</v>
      </c>
      <c r="AK44" s="58">
        <v>1</v>
      </c>
      <c r="AL44" s="59">
        <v>0</v>
      </c>
      <c r="AM44" s="57">
        <v>105</v>
      </c>
      <c r="AN44" s="58">
        <v>260</v>
      </c>
      <c r="AO44" s="58">
        <v>360</v>
      </c>
      <c r="AP44" s="68">
        <v>0</v>
      </c>
      <c r="AQ44" s="68">
        <v>0</v>
      </c>
      <c r="AR44" s="68">
        <v>2</v>
      </c>
      <c r="AS44" s="58">
        <v>0</v>
      </c>
      <c r="AT44" s="58">
        <v>2</v>
      </c>
      <c r="AU44" s="59">
        <v>0</v>
      </c>
      <c r="AV44" s="57">
        <v>260</v>
      </c>
      <c r="AW44" s="58">
        <v>105</v>
      </c>
      <c r="AX44" s="58">
        <v>360</v>
      </c>
      <c r="AY44" s="68">
        <v>0</v>
      </c>
      <c r="AZ44" s="68">
        <v>0</v>
      </c>
      <c r="BA44" s="68">
        <v>2</v>
      </c>
      <c r="BB44" s="58">
        <v>0</v>
      </c>
      <c r="BC44" s="58">
        <v>2</v>
      </c>
      <c r="BD44" s="59">
        <v>0</v>
      </c>
      <c r="BE44" s="57">
        <v>360</v>
      </c>
      <c r="BF44" s="58">
        <v>105</v>
      </c>
      <c r="BG44" s="58">
        <v>260</v>
      </c>
      <c r="BH44" s="68">
        <v>0</v>
      </c>
      <c r="BI44" s="68">
        <v>0</v>
      </c>
      <c r="BJ44" s="68">
        <v>1</v>
      </c>
      <c r="BK44" s="58">
        <v>0</v>
      </c>
      <c r="BL44" s="58">
        <v>1</v>
      </c>
      <c r="BM44" s="59">
        <v>0</v>
      </c>
    </row>
    <row r="45" spans="1:65" x14ac:dyDescent="0.3">
      <c r="A45" s="83">
        <v>5</v>
      </c>
      <c r="B45" s="70">
        <v>14007838</v>
      </c>
      <c r="C45" s="66" t="str">
        <v>DRIVER SIDE BOOSTER COVER ASSY</v>
      </c>
      <c r="D45" s="58">
        <v>410</v>
      </c>
      <c r="E45" s="58">
        <v>280</v>
      </c>
      <c r="F45" s="58">
        <v>160</v>
      </c>
      <c r="G45" s="58">
        <v>16</v>
      </c>
      <c r="H45" s="58">
        <v>1</v>
      </c>
      <c r="I45" s="58">
        <v>16</v>
      </c>
      <c r="J45" s="58">
        <v>202</v>
      </c>
      <c r="K45" s="72" t="str">
        <v>Crate (400 x 300 x 170) mm</v>
      </c>
      <c r="L45" s="57">
        <v>360</v>
      </c>
      <c r="M45" s="58">
        <v>260</v>
      </c>
      <c r="N45" s="58">
        <v>155</v>
      </c>
      <c r="O45" s="68">
        <v>0</v>
      </c>
      <c r="P45" s="68">
        <v>0</v>
      </c>
      <c r="Q45" s="68">
        <v>0</v>
      </c>
      <c r="R45" s="58">
        <v>0</v>
      </c>
      <c r="S45" s="58">
        <v>0</v>
      </c>
      <c r="T45" s="59">
        <v>0</v>
      </c>
      <c r="U45" s="57">
        <v>260</v>
      </c>
      <c r="V45" s="58">
        <v>360</v>
      </c>
      <c r="W45" s="58">
        <v>155</v>
      </c>
      <c r="X45" s="68">
        <v>0</v>
      </c>
      <c r="Y45" s="68">
        <v>1</v>
      </c>
      <c r="Z45" s="68">
        <v>0</v>
      </c>
      <c r="AA45" s="58">
        <v>0</v>
      </c>
      <c r="AB45" s="58">
        <v>0</v>
      </c>
      <c r="AC45" s="59">
        <v>0</v>
      </c>
      <c r="AD45" s="57">
        <v>155</v>
      </c>
      <c r="AE45" s="58">
        <v>360</v>
      </c>
      <c r="AF45" s="58">
        <v>260</v>
      </c>
      <c r="AG45" s="68">
        <v>0</v>
      </c>
      <c r="AH45" s="68">
        <v>1</v>
      </c>
      <c r="AI45" s="68">
        <v>1</v>
      </c>
      <c r="AJ45" s="58">
        <v>0</v>
      </c>
      <c r="AK45" s="58">
        <v>1</v>
      </c>
      <c r="AL45" s="59">
        <v>0</v>
      </c>
      <c r="AM45" s="57">
        <v>155</v>
      </c>
      <c r="AN45" s="58">
        <v>260</v>
      </c>
      <c r="AO45" s="58">
        <v>360</v>
      </c>
      <c r="AP45" s="68">
        <v>0</v>
      </c>
      <c r="AQ45" s="68">
        <v>0</v>
      </c>
      <c r="AR45" s="68">
        <v>2</v>
      </c>
      <c r="AS45" s="58">
        <v>0</v>
      </c>
      <c r="AT45" s="58">
        <v>2</v>
      </c>
      <c r="AU45" s="59">
        <v>0</v>
      </c>
      <c r="AV45" s="57">
        <v>260</v>
      </c>
      <c r="AW45" s="58">
        <v>155</v>
      </c>
      <c r="AX45" s="58">
        <v>360</v>
      </c>
      <c r="AY45" s="68">
        <v>0</v>
      </c>
      <c r="AZ45" s="68">
        <v>0</v>
      </c>
      <c r="BA45" s="68">
        <v>2</v>
      </c>
      <c r="BB45" s="58">
        <v>0</v>
      </c>
      <c r="BC45" s="58">
        <v>2</v>
      </c>
      <c r="BD45" s="59">
        <v>0</v>
      </c>
      <c r="BE45" s="57">
        <v>360</v>
      </c>
      <c r="BF45" s="58">
        <v>155</v>
      </c>
      <c r="BG45" s="58">
        <v>260</v>
      </c>
      <c r="BH45" s="68">
        <v>0</v>
      </c>
      <c r="BI45" s="68">
        <v>0</v>
      </c>
      <c r="BJ45" s="68">
        <v>1</v>
      </c>
      <c r="BK45" s="58">
        <v>0</v>
      </c>
      <c r="BL45" s="58">
        <v>1</v>
      </c>
      <c r="BM45" s="59">
        <v>0</v>
      </c>
    </row>
    <row r="46" spans="1:65" ht="15" thickBot="1" x14ac:dyDescent="0.35">
      <c r="A46" s="85">
        <v>5</v>
      </c>
      <c r="B46" s="81">
        <v>14007838</v>
      </c>
      <c r="C46" s="77" t="str">
        <v>DRIVER SIDE BOOSTER COVER ASSY</v>
      </c>
      <c r="D46" s="64">
        <v>410</v>
      </c>
      <c r="E46" s="64">
        <v>280</v>
      </c>
      <c r="F46" s="64">
        <v>160</v>
      </c>
      <c r="G46" s="64">
        <v>16</v>
      </c>
      <c r="H46" s="64">
        <v>1</v>
      </c>
      <c r="I46" s="64">
        <v>16</v>
      </c>
      <c r="J46" s="64">
        <v>202</v>
      </c>
      <c r="K46" s="78" t="str">
        <v>Crate (400 x 300 x 220) mm</v>
      </c>
      <c r="L46" s="63">
        <v>360</v>
      </c>
      <c r="M46" s="64">
        <v>260</v>
      </c>
      <c r="N46" s="64">
        <v>205</v>
      </c>
      <c r="O46" s="79">
        <v>0</v>
      </c>
      <c r="P46" s="79">
        <v>0</v>
      </c>
      <c r="Q46" s="79">
        <v>1</v>
      </c>
      <c r="R46" s="64">
        <v>0</v>
      </c>
      <c r="S46" s="64">
        <v>1</v>
      </c>
      <c r="T46" s="65">
        <v>0</v>
      </c>
      <c r="U46" s="63">
        <v>260</v>
      </c>
      <c r="V46" s="64">
        <v>360</v>
      </c>
      <c r="W46" s="64">
        <v>205</v>
      </c>
      <c r="X46" s="79">
        <v>0</v>
      </c>
      <c r="Y46" s="79">
        <v>1</v>
      </c>
      <c r="Z46" s="79">
        <v>1</v>
      </c>
      <c r="AA46" s="64">
        <v>0</v>
      </c>
      <c r="AB46" s="64">
        <v>1</v>
      </c>
      <c r="AC46" s="65">
        <v>0</v>
      </c>
      <c r="AD46" s="63">
        <v>205</v>
      </c>
      <c r="AE46" s="64">
        <v>360</v>
      </c>
      <c r="AF46" s="64">
        <v>260</v>
      </c>
      <c r="AG46" s="79">
        <v>0</v>
      </c>
      <c r="AH46" s="79">
        <v>1</v>
      </c>
      <c r="AI46" s="79">
        <v>1</v>
      </c>
      <c r="AJ46" s="64">
        <v>0</v>
      </c>
      <c r="AK46" s="64">
        <v>1</v>
      </c>
      <c r="AL46" s="65">
        <v>0</v>
      </c>
      <c r="AM46" s="63">
        <v>205</v>
      </c>
      <c r="AN46" s="64">
        <v>260</v>
      </c>
      <c r="AO46" s="64">
        <v>360</v>
      </c>
      <c r="AP46" s="79">
        <v>0</v>
      </c>
      <c r="AQ46" s="79">
        <v>0</v>
      </c>
      <c r="AR46" s="79">
        <v>2</v>
      </c>
      <c r="AS46" s="64">
        <v>0</v>
      </c>
      <c r="AT46" s="64">
        <v>2</v>
      </c>
      <c r="AU46" s="65">
        <v>0</v>
      </c>
      <c r="AV46" s="63">
        <v>260</v>
      </c>
      <c r="AW46" s="64">
        <v>205</v>
      </c>
      <c r="AX46" s="64">
        <v>360</v>
      </c>
      <c r="AY46" s="79">
        <v>0</v>
      </c>
      <c r="AZ46" s="79">
        <v>0</v>
      </c>
      <c r="BA46" s="79">
        <v>2</v>
      </c>
      <c r="BB46" s="64">
        <v>0</v>
      </c>
      <c r="BC46" s="64">
        <v>2</v>
      </c>
      <c r="BD46" s="65">
        <v>0</v>
      </c>
      <c r="BE46" s="63">
        <v>360</v>
      </c>
      <c r="BF46" s="64">
        <v>205</v>
      </c>
      <c r="BG46" s="64">
        <v>260</v>
      </c>
      <c r="BH46" s="79">
        <v>0</v>
      </c>
      <c r="BI46" s="79">
        <v>0</v>
      </c>
      <c r="BJ46" s="79">
        <v>1</v>
      </c>
      <c r="BK46" s="64">
        <v>0</v>
      </c>
      <c r="BL46" s="64">
        <v>1</v>
      </c>
      <c r="BM46" s="65">
        <v>0</v>
      </c>
    </row>
    <row r="47" spans="1:65" x14ac:dyDescent="0.3">
      <c r="A47" s="82">
        <v>6</v>
      </c>
      <c r="B47" s="80">
        <v>14007839</v>
      </c>
      <c r="C47" s="74" t="str">
        <v>PASSENGER SIDE KNEE COVER RHD ASSY</v>
      </c>
      <c r="D47" s="55">
        <v>380</v>
      </c>
      <c r="E47" s="55">
        <v>110</v>
      </c>
      <c r="F47" s="55">
        <v>295</v>
      </c>
      <c r="G47" s="55">
        <v>64</v>
      </c>
      <c r="H47" s="55">
        <v>1</v>
      </c>
      <c r="I47" s="55">
        <v>64</v>
      </c>
      <c r="J47" s="55">
        <v>50</v>
      </c>
      <c r="K47" s="75" t="str">
        <v>FLC ( 1200 x 1000 x 800) mm</v>
      </c>
      <c r="L47" s="54">
        <v>1120</v>
      </c>
      <c r="M47" s="55">
        <v>920</v>
      </c>
      <c r="N47" s="55">
        <v>640</v>
      </c>
      <c r="O47" s="76">
        <v>2</v>
      </c>
      <c r="P47" s="76">
        <v>8</v>
      </c>
      <c r="Q47" s="76">
        <v>2</v>
      </c>
      <c r="R47" s="55">
        <v>16</v>
      </c>
      <c r="S47" s="55">
        <v>2</v>
      </c>
      <c r="T47" s="56">
        <v>32</v>
      </c>
      <c r="U47" s="54">
        <v>920</v>
      </c>
      <c r="V47" s="55">
        <v>1120</v>
      </c>
      <c r="W47" s="55">
        <v>640</v>
      </c>
      <c r="X47" s="76">
        <v>2</v>
      </c>
      <c r="Y47" s="76">
        <v>9</v>
      </c>
      <c r="Z47" s="76">
        <v>2</v>
      </c>
      <c r="AA47" s="55">
        <v>18</v>
      </c>
      <c r="AB47" s="55">
        <v>2</v>
      </c>
      <c r="AC47" s="56">
        <v>36</v>
      </c>
      <c r="AD47" s="54">
        <v>640</v>
      </c>
      <c r="AE47" s="55">
        <v>1120</v>
      </c>
      <c r="AF47" s="55">
        <v>920</v>
      </c>
      <c r="AG47" s="76">
        <v>1</v>
      </c>
      <c r="AH47" s="76">
        <v>9</v>
      </c>
      <c r="AI47" s="76">
        <v>3</v>
      </c>
      <c r="AJ47" s="55">
        <v>9</v>
      </c>
      <c r="AK47" s="55">
        <v>3</v>
      </c>
      <c r="AL47" s="56">
        <v>27</v>
      </c>
      <c r="AM47" s="54">
        <v>640</v>
      </c>
      <c r="AN47" s="55">
        <v>920</v>
      </c>
      <c r="AO47" s="55">
        <v>1120</v>
      </c>
      <c r="AP47" s="76">
        <v>1</v>
      </c>
      <c r="AQ47" s="76">
        <v>8</v>
      </c>
      <c r="AR47" s="76">
        <v>3</v>
      </c>
      <c r="AS47" s="55">
        <v>8</v>
      </c>
      <c r="AT47" s="55">
        <v>3</v>
      </c>
      <c r="AU47" s="56">
        <v>24</v>
      </c>
      <c r="AV47" s="54">
        <v>920</v>
      </c>
      <c r="AW47" s="55">
        <v>640</v>
      </c>
      <c r="AX47" s="55">
        <v>1120</v>
      </c>
      <c r="AY47" s="76">
        <v>2</v>
      </c>
      <c r="AZ47" s="76">
        <v>5</v>
      </c>
      <c r="BA47" s="76">
        <v>3</v>
      </c>
      <c r="BB47" s="55">
        <v>10</v>
      </c>
      <c r="BC47" s="55">
        <v>3</v>
      </c>
      <c r="BD47" s="56">
        <v>30</v>
      </c>
      <c r="BE47" s="54">
        <v>1120</v>
      </c>
      <c r="BF47" s="55">
        <v>640</v>
      </c>
      <c r="BG47" s="55">
        <v>920</v>
      </c>
      <c r="BH47" s="76">
        <v>2</v>
      </c>
      <c r="BI47" s="76">
        <v>5</v>
      </c>
      <c r="BJ47" s="76">
        <v>3</v>
      </c>
      <c r="BK47" s="55">
        <v>10</v>
      </c>
      <c r="BL47" s="55">
        <v>3</v>
      </c>
      <c r="BM47" s="56">
        <v>30</v>
      </c>
    </row>
    <row r="48" spans="1:65" x14ac:dyDescent="0.3">
      <c r="A48" s="83">
        <v>6</v>
      </c>
      <c r="B48" s="70">
        <v>14007839</v>
      </c>
      <c r="C48" s="66" t="str">
        <v>PASSENGER SIDE KNEE COVER RHD ASSY</v>
      </c>
      <c r="D48" s="58">
        <v>380</v>
      </c>
      <c r="E48" s="58">
        <v>110</v>
      </c>
      <c r="F48" s="58">
        <v>295</v>
      </c>
      <c r="G48" s="58">
        <v>64</v>
      </c>
      <c r="H48" s="58">
        <v>1</v>
      </c>
      <c r="I48" s="58">
        <v>64</v>
      </c>
      <c r="J48" s="58">
        <v>50</v>
      </c>
      <c r="K48" s="72" t="str">
        <v>FLC ( 1200 x 800 x 975) mm</v>
      </c>
      <c r="L48" s="57">
        <v>1155</v>
      </c>
      <c r="M48" s="58">
        <v>755</v>
      </c>
      <c r="N48" s="58">
        <v>780</v>
      </c>
      <c r="O48" s="68">
        <v>3</v>
      </c>
      <c r="P48" s="68">
        <v>6</v>
      </c>
      <c r="Q48" s="68">
        <v>2</v>
      </c>
      <c r="R48" s="58">
        <v>18</v>
      </c>
      <c r="S48" s="58">
        <v>2</v>
      </c>
      <c r="T48" s="59">
        <v>36</v>
      </c>
      <c r="U48" s="57">
        <v>755</v>
      </c>
      <c r="V48" s="58">
        <v>1155</v>
      </c>
      <c r="W48" s="58">
        <v>780</v>
      </c>
      <c r="X48" s="68">
        <v>1</v>
      </c>
      <c r="Y48" s="68">
        <v>10</v>
      </c>
      <c r="Z48" s="68">
        <v>2</v>
      </c>
      <c r="AA48" s="58">
        <v>10</v>
      </c>
      <c r="AB48" s="58">
        <v>2</v>
      </c>
      <c r="AC48" s="59">
        <v>20</v>
      </c>
      <c r="AD48" s="57">
        <v>780</v>
      </c>
      <c r="AE48" s="58">
        <v>1155</v>
      </c>
      <c r="AF48" s="58">
        <v>755</v>
      </c>
      <c r="AG48" s="68">
        <v>2</v>
      </c>
      <c r="AH48" s="68">
        <v>10</v>
      </c>
      <c r="AI48" s="68">
        <v>2</v>
      </c>
      <c r="AJ48" s="58">
        <v>20</v>
      </c>
      <c r="AK48" s="58">
        <v>2</v>
      </c>
      <c r="AL48" s="59">
        <v>40</v>
      </c>
      <c r="AM48" s="57">
        <v>780</v>
      </c>
      <c r="AN48" s="58">
        <v>755</v>
      </c>
      <c r="AO48" s="58">
        <v>1155</v>
      </c>
      <c r="AP48" s="68">
        <v>2</v>
      </c>
      <c r="AQ48" s="68">
        <v>6</v>
      </c>
      <c r="AR48" s="68">
        <v>3</v>
      </c>
      <c r="AS48" s="58">
        <v>12</v>
      </c>
      <c r="AT48" s="58">
        <v>3</v>
      </c>
      <c r="AU48" s="59">
        <v>36</v>
      </c>
      <c r="AV48" s="57">
        <v>755</v>
      </c>
      <c r="AW48" s="58">
        <v>780</v>
      </c>
      <c r="AX48" s="58">
        <v>1155</v>
      </c>
      <c r="AY48" s="68">
        <v>1</v>
      </c>
      <c r="AZ48" s="68">
        <v>6</v>
      </c>
      <c r="BA48" s="68">
        <v>3</v>
      </c>
      <c r="BB48" s="58">
        <v>6</v>
      </c>
      <c r="BC48" s="58">
        <v>3</v>
      </c>
      <c r="BD48" s="59">
        <v>18</v>
      </c>
      <c r="BE48" s="57">
        <v>1155</v>
      </c>
      <c r="BF48" s="58">
        <v>780</v>
      </c>
      <c r="BG48" s="58">
        <v>755</v>
      </c>
      <c r="BH48" s="68">
        <v>3</v>
      </c>
      <c r="BI48" s="68">
        <v>6</v>
      </c>
      <c r="BJ48" s="68">
        <v>2</v>
      </c>
      <c r="BK48" s="58">
        <v>18</v>
      </c>
      <c r="BL48" s="58">
        <v>2</v>
      </c>
      <c r="BM48" s="59">
        <v>36</v>
      </c>
    </row>
    <row r="49" spans="1:65" x14ac:dyDescent="0.3">
      <c r="A49" s="83">
        <v>6</v>
      </c>
      <c r="B49" s="70">
        <v>14007839</v>
      </c>
      <c r="C49" s="66" t="str">
        <v>PASSENGER SIDE KNEE COVER RHD ASSY</v>
      </c>
      <c r="D49" s="58">
        <v>380</v>
      </c>
      <c r="E49" s="58">
        <v>110</v>
      </c>
      <c r="F49" s="58">
        <v>295</v>
      </c>
      <c r="G49" s="58">
        <v>64</v>
      </c>
      <c r="H49" s="58">
        <v>1</v>
      </c>
      <c r="I49" s="58">
        <v>64</v>
      </c>
      <c r="J49" s="58">
        <v>50</v>
      </c>
      <c r="K49" s="72" t="str">
        <v>FCS (810 x 760 x 860)mm</v>
      </c>
      <c r="L49" s="57">
        <v>780</v>
      </c>
      <c r="M49" s="58">
        <v>730</v>
      </c>
      <c r="N49" s="58">
        <v>720</v>
      </c>
      <c r="O49" s="68">
        <v>2</v>
      </c>
      <c r="P49" s="68">
        <v>6</v>
      </c>
      <c r="Q49" s="68">
        <v>2</v>
      </c>
      <c r="R49" s="58">
        <v>12</v>
      </c>
      <c r="S49" s="58">
        <v>2</v>
      </c>
      <c r="T49" s="59">
        <v>24</v>
      </c>
      <c r="U49" s="57">
        <v>730</v>
      </c>
      <c r="V49" s="58">
        <v>780</v>
      </c>
      <c r="W49" s="58">
        <v>720</v>
      </c>
      <c r="X49" s="68">
        <v>1</v>
      </c>
      <c r="Y49" s="68">
        <v>6</v>
      </c>
      <c r="Z49" s="68">
        <v>2</v>
      </c>
      <c r="AA49" s="58">
        <v>6</v>
      </c>
      <c r="AB49" s="58">
        <v>2</v>
      </c>
      <c r="AC49" s="59">
        <v>12</v>
      </c>
      <c r="AD49" s="57">
        <v>720</v>
      </c>
      <c r="AE49" s="58">
        <v>780</v>
      </c>
      <c r="AF49" s="58">
        <v>730</v>
      </c>
      <c r="AG49" s="68">
        <v>1</v>
      </c>
      <c r="AH49" s="68">
        <v>6</v>
      </c>
      <c r="AI49" s="68">
        <v>2</v>
      </c>
      <c r="AJ49" s="58">
        <v>6</v>
      </c>
      <c r="AK49" s="58">
        <v>2</v>
      </c>
      <c r="AL49" s="59">
        <v>12</v>
      </c>
      <c r="AM49" s="57">
        <v>720</v>
      </c>
      <c r="AN49" s="58">
        <v>730</v>
      </c>
      <c r="AO49" s="58">
        <v>780</v>
      </c>
      <c r="AP49" s="68">
        <v>1</v>
      </c>
      <c r="AQ49" s="68">
        <v>6</v>
      </c>
      <c r="AR49" s="68">
        <v>2</v>
      </c>
      <c r="AS49" s="58">
        <v>6</v>
      </c>
      <c r="AT49" s="58">
        <v>2</v>
      </c>
      <c r="AU49" s="59">
        <v>12</v>
      </c>
      <c r="AV49" s="57">
        <v>730</v>
      </c>
      <c r="AW49" s="58">
        <v>720</v>
      </c>
      <c r="AX49" s="58">
        <v>780</v>
      </c>
      <c r="AY49" s="68">
        <v>1</v>
      </c>
      <c r="AZ49" s="68">
        <v>6</v>
      </c>
      <c r="BA49" s="68">
        <v>2</v>
      </c>
      <c r="BB49" s="58">
        <v>6</v>
      </c>
      <c r="BC49" s="58">
        <v>2</v>
      </c>
      <c r="BD49" s="59">
        <v>12</v>
      </c>
      <c r="BE49" s="57">
        <v>780</v>
      </c>
      <c r="BF49" s="58">
        <v>720</v>
      </c>
      <c r="BG49" s="58">
        <v>730</v>
      </c>
      <c r="BH49" s="68">
        <v>2</v>
      </c>
      <c r="BI49" s="68">
        <v>6</v>
      </c>
      <c r="BJ49" s="68">
        <v>2</v>
      </c>
      <c r="BK49" s="58">
        <v>12</v>
      </c>
      <c r="BL49" s="58">
        <v>2</v>
      </c>
      <c r="BM49" s="59">
        <v>24</v>
      </c>
    </row>
    <row r="50" spans="1:65" x14ac:dyDescent="0.3">
      <c r="A50" s="83">
        <v>6</v>
      </c>
      <c r="B50" s="70">
        <v>14007839</v>
      </c>
      <c r="C50" s="66" t="str">
        <v>PASSENGER SIDE KNEE COVER RHD ASSY</v>
      </c>
      <c r="D50" s="58">
        <v>380</v>
      </c>
      <c r="E50" s="58">
        <v>110</v>
      </c>
      <c r="F50" s="58">
        <v>295</v>
      </c>
      <c r="G50" s="58">
        <v>64</v>
      </c>
      <c r="H50" s="58">
        <v>1</v>
      </c>
      <c r="I50" s="58">
        <v>64</v>
      </c>
      <c r="J50" s="58">
        <v>50</v>
      </c>
      <c r="K50" s="72" t="str">
        <v>Crate (600 x 400 x 120) mm</v>
      </c>
      <c r="L50" s="57">
        <v>560</v>
      </c>
      <c r="M50" s="58">
        <v>360</v>
      </c>
      <c r="N50" s="58">
        <v>105</v>
      </c>
      <c r="O50" s="68">
        <v>1</v>
      </c>
      <c r="P50" s="68">
        <v>3</v>
      </c>
      <c r="Q50" s="68">
        <v>0</v>
      </c>
      <c r="R50" s="58">
        <v>3</v>
      </c>
      <c r="S50" s="58">
        <v>0</v>
      </c>
      <c r="T50" s="59">
        <v>0</v>
      </c>
      <c r="U50" s="57">
        <v>360</v>
      </c>
      <c r="V50" s="58">
        <v>560</v>
      </c>
      <c r="W50" s="58">
        <v>105</v>
      </c>
      <c r="X50" s="68">
        <v>0</v>
      </c>
      <c r="Y50" s="68">
        <v>4</v>
      </c>
      <c r="Z50" s="68">
        <v>0</v>
      </c>
      <c r="AA50" s="58">
        <v>0</v>
      </c>
      <c r="AB50" s="58">
        <v>0</v>
      </c>
      <c r="AC50" s="59">
        <v>0</v>
      </c>
      <c r="AD50" s="57">
        <v>105</v>
      </c>
      <c r="AE50" s="58">
        <v>560</v>
      </c>
      <c r="AF50" s="58">
        <v>360</v>
      </c>
      <c r="AG50" s="68">
        <v>0</v>
      </c>
      <c r="AH50" s="68">
        <v>4</v>
      </c>
      <c r="AI50" s="68">
        <v>1</v>
      </c>
      <c r="AJ50" s="58">
        <v>0</v>
      </c>
      <c r="AK50" s="58">
        <v>1</v>
      </c>
      <c r="AL50" s="59">
        <v>0</v>
      </c>
      <c r="AM50" s="57">
        <v>105</v>
      </c>
      <c r="AN50" s="58">
        <v>360</v>
      </c>
      <c r="AO50" s="58">
        <v>560</v>
      </c>
      <c r="AP50" s="68">
        <v>0</v>
      </c>
      <c r="AQ50" s="68">
        <v>3</v>
      </c>
      <c r="AR50" s="68">
        <v>1</v>
      </c>
      <c r="AS50" s="58">
        <v>0</v>
      </c>
      <c r="AT50" s="58">
        <v>1</v>
      </c>
      <c r="AU50" s="59">
        <v>0</v>
      </c>
      <c r="AV50" s="57">
        <v>360</v>
      </c>
      <c r="AW50" s="58">
        <v>105</v>
      </c>
      <c r="AX50" s="58">
        <v>560</v>
      </c>
      <c r="AY50" s="68">
        <v>0</v>
      </c>
      <c r="AZ50" s="68">
        <v>0</v>
      </c>
      <c r="BA50" s="68">
        <v>1</v>
      </c>
      <c r="BB50" s="58">
        <v>0</v>
      </c>
      <c r="BC50" s="58">
        <v>1</v>
      </c>
      <c r="BD50" s="59">
        <v>0</v>
      </c>
      <c r="BE50" s="57">
        <v>560</v>
      </c>
      <c r="BF50" s="58">
        <v>105</v>
      </c>
      <c r="BG50" s="58">
        <v>360</v>
      </c>
      <c r="BH50" s="68">
        <v>1</v>
      </c>
      <c r="BI50" s="68">
        <v>0</v>
      </c>
      <c r="BJ50" s="68">
        <v>1</v>
      </c>
      <c r="BK50" s="58">
        <v>0</v>
      </c>
      <c r="BL50" s="58">
        <v>1</v>
      </c>
      <c r="BM50" s="59">
        <v>0</v>
      </c>
    </row>
    <row r="51" spans="1:65" x14ac:dyDescent="0.3">
      <c r="A51" s="83">
        <v>6</v>
      </c>
      <c r="B51" s="70">
        <v>14007839</v>
      </c>
      <c r="C51" s="66" t="str">
        <v>PASSENGER SIDE KNEE COVER RHD ASSY</v>
      </c>
      <c r="D51" s="58">
        <v>380</v>
      </c>
      <c r="E51" s="58">
        <v>110</v>
      </c>
      <c r="F51" s="58">
        <v>295</v>
      </c>
      <c r="G51" s="58">
        <v>64</v>
      </c>
      <c r="H51" s="58">
        <v>1</v>
      </c>
      <c r="I51" s="58">
        <v>64</v>
      </c>
      <c r="J51" s="58">
        <v>50</v>
      </c>
      <c r="K51" s="72" t="str">
        <v>Crate (600 x 400 x 170) mm</v>
      </c>
      <c r="L51" s="57">
        <v>560</v>
      </c>
      <c r="M51" s="58">
        <v>360</v>
      </c>
      <c r="N51" s="58">
        <v>155</v>
      </c>
      <c r="O51" s="68">
        <v>1</v>
      </c>
      <c r="P51" s="68">
        <v>3</v>
      </c>
      <c r="Q51" s="68">
        <v>0</v>
      </c>
      <c r="R51" s="58">
        <v>3</v>
      </c>
      <c r="S51" s="58">
        <v>0</v>
      </c>
      <c r="T51" s="59">
        <v>0</v>
      </c>
      <c r="U51" s="57">
        <v>360</v>
      </c>
      <c r="V51" s="58">
        <v>560</v>
      </c>
      <c r="W51" s="58">
        <v>155</v>
      </c>
      <c r="X51" s="68">
        <v>0</v>
      </c>
      <c r="Y51" s="68">
        <v>4</v>
      </c>
      <c r="Z51" s="68">
        <v>0</v>
      </c>
      <c r="AA51" s="58">
        <v>0</v>
      </c>
      <c r="AB51" s="58">
        <v>0</v>
      </c>
      <c r="AC51" s="59">
        <v>0</v>
      </c>
      <c r="AD51" s="57">
        <v>155</v>
      </c>
      <c r="AE51" s="58">
        <v>560</v>
      </c>
      <c r="AF51" s="58">
        <v>360</v>
      </c>
      <c r="AG51" s="68">
        <v>0</v>
      </c>
      <c r="AH51" s="68">
        <v>4</v>
      </c>
      <c r="AI51" s="68">
        <v>1</v>
      </c>
      <c r="AJ51" s="58">
        <v>0</v>
      </c>
      <c r="AK51" s="58">
        <v>1</v>
      </c>
      <c r="AL51" s="59">
        <v>0</v>
      </c>
      <c r="AM51" s="57">
        <v>155</v>
      </c>
      <c r="AN51" s="58">
        <v>360</v>
      </c>
      <c r="AO51" s="58">
        <v>560</v>
      </c>
      <c r="AP51" s="68">
        <v>0</v>
      </c>
      <c r="AQ51" s="68">
        <v>3</v>
      </c>
      <c r="AR51" s="68">
        <v>1</v>
      </c>
      <c r="AS51" s="58">
        <v>0</v>
      </c>
      <c r="AT51" s="58">
        <v>1</v>
      </c>
      <c r="AU51" s="59">
        <v>0</v>
      </c>
      <c r="AV51" s="57">
        <v>360</v>
      </c>
      <c r="AW51" s="58">
        <v>155</v>
      </c>
      <c r="AX51" s="58">
        <v>560</v>
      </c>
      <c r="AY51" s="68">
        <v>0</v>
      </c>
      <c r="AZ51" s="68">
        <v>1</v>
      </c>
      <c r="BA51" s="68">
        <v>1</v>
      </c>
      <c r="BB51" s="58">
        <v>0</v>
      </c>
      <c r="BC51" s="58">
        <v>1</v>
      </c>
      <c r="BD51" s="59">
        <v>0</v>
      </c>
      <c r="BE51" s="57">
        <v>560</v>
      </c>
      <c r="BF51" s="58">
        <v>155</v>
      </c>
      <c r="BG51" s="58">
        <v>360</v>
      </c>
      <c r="BH51" s="68">
        <v>1</v>
      </c>
      <c r="BI51" s="68">
        <v>1</v>
      </c>
      <c r="BJ51" s="68">
        <v>1</v>
      </c>
      <c r="BK51" s="58">
        <v>1</v>
      </c>
      <c r="BL51" s="58">
        <v>1</v>
      </c>
      <c r="BM51" s="59">
        <v>1</v>
      </c>
    </row>
    <row r="52" spans="1:65" x14ac:dyDescent="0.3">
      <c r="A52" s="83">
        <v>6</v>
      </c>
      <c r="B52" s="70">
        <v>14007839</v>
      </c>
      <c r="C52" s="66" t="str">
        <v>PASSENGER SIDE KNEE COVER RHD ASSY</v>
      </c>
      <c r="D52" s="58">
        <v>380</v>
      </c>
      <c r="E52" s="58">
        <v>110</v>
      </c>
      <c r="F52" s="58">
        <v>295</v>
      </c>
      <c r="G52" s="58">
        <v>64</v>
      </c>
      <c r="H52" s="58">
        <v>1</v>
      </c>
      <c r="I52" s="58">
        <v>64</v>
      </c>
      <c r="J52" s="58">
        <v>50</v>
      </c>
      <c r="K52" s="72" t="str">
        <v>Crate (600 x 400 x 220) mm</v>
      </c>
      <c r="L52" s="57">
        <v>560</v>
      </c>
      <c r="M52" s="58">
        <v>360</v>
      </c>
      <c r="N52" s="58">
        <v>205</v>
      </c>
      <c r="O52" s="68">
        <v>1</v>
      </c>
      <c r="P52" s="68">
        <v>3</v>
      </c>
      <c r="Q52" s="68">
        <v>0</v>
      </c>
      <c r="R52" s="58">
        <v>3</v>
      </c>
      <c r="S52" s="58">
        <v>0</v>
      </c>
      <c r="T52" s="59">
        <v>0</v>
      </c>
      <c r="U52" s="57">
        <v>360</v>
      </c>
      <c r="V52" s="58">
        <v>560</v>
      </c>
      <c r="W52" s="58">
        <v>205</v>
      </c>
      <c r="X52" s="68">
        <v>0</v>
      </c>
      <c r="Y52" s="68">
        <v>4</v>
      </c>
      <c r="Z52" s="68">
        <v>0</v>
      </c>
      <c r="AA52" s="58">
        <v>0</v>
      </c>
      <c r="AB52" s="58">
        <v>0</v>
      </c>
      <c r="AC52" s="59">
        <v>0</v>
      </c>
      <c r="AD52" s="57">
        <v>205</v>
      </c>
      <c r="AE52" s="58">
        <v>560</v>
      </c>
      <c r="AF52" s="58">
        <v>360</v>
      </c>
      <c r="AG52" s="68">
        <v>0</v>
      </c>
      <c r="AH52" s="68">
        <v>4</v>
      </c>
      <c r="AI52" s="68">
        <v>1</v>
      </c>
      <c r="AJ52" s="58">
        <v>0</v>
      </c>
      <c r="AK52" s="58">
        <v>1</v>
      </c>
      <c r="AL52" s="59">
        <v>0</v>
      </c>
      <c r="AM52" s="57">
        <v>205</v>
      </c>
      <c r="AN52" s="58">
        <v>360</v>
      </c>
      <c r="AO52" s="58">
        <v>560</v>
      </c>
      <c r="AP52" s="68">
        <v>0</v>
      </c>
      <c r="AQ52" s="68">
        <v>3</v>
      </c>
      <c r="AR52" s="68">
        <v>1</v>
      </c>
      <c r="AS52" s="58">
        <v>0</v>
      </c>
      <c r="AT52" s="58">
        <v>1</v>
      </c>
      <c r="AU52" s="59">
        <v>0</v>
      </c>
      <c r="AV52" s="57">
        <v>360</v>
      </c>
      <c r="AW52" s="58">
        <v>205</v>
      </c>
      <c r="AX52" s="58">
        <v>560</v>
      </c>
      <c r="AY52" s="68">
        <v>0</v>
      </c>
      <c r="AZ52" s="68">
        <v>1</v>
      </c>
      <c r="BA52" s="68">
        <v>1</v>
      </c>
      <c r="BB52" s="58">
        <v>0</v>
      </c>
      <c r="BC52" s="58">
        <v>1</v>
      </c>
      <c r="BD52" s="59">
        <v>0</v>
      </c>
      <c r="BE52" s="57">
        <v>560</v>
      </c>
      <c r="BF52" s="58">
        <v>205</v>
      </c>
      <c r="BG52" s="58">
        <v>360</v>
      </c>
      <c r="BH52" s="68">
        <v>1</v>
      </c>
      <c r="BI52" s="68">
        <v>1</v>
      </c>
      <c r="BJ52" s="68">
        <v>1</v>
      </c>
      <c r="BK52" s="58">
        <v>1</v>
      </c>
      <c r="BL52" s="58">
        <v>1</v>
      </c>
      <c r="BM52" s="59">
        <v>1</v>
      </c>
    </row>
    <row r="53" spans="1:65" x14ac:dyDescent="0.3">
      <c r="A53" s="83">
        <v>6</v>
      </c>
      <c r="B53" s="70">
        <v>14007839</v>
      </c>
      <c r="C53" s="66" t="str">
        <v>PASSENGER SIDE KNEE COVER RHD ASSY</v>
      </c>
      <c r="D53" s="58">
        <v>380</v>
      </c>
      <c r="E53" s="58">
        <v>110</v>
      </c>
      <c r="F53" s="58">
        <v>295</v>
      </c>
      <c r="G53" s="58">
        <v>64</v>
      </c>
      <c r="H53" s="58">
        <v>1</v>
      </c>
      <c r="I53" s="58">
        <v>64</v>
      </c>
      <c r="J53" s="58">
        <v>50</v>
      </c>
      <c r="K53" s="72" t="str">
        <v>Crate (400 x 300 x 120) mm</v>
      </c>
      <c r="L53" s="57">
        <v>360</v>
      </c>
      <c r="M53" s="58">
        <v>260</v>
      </c>
      <c r="N53" s="58">
        <v>105</v>
      </c>
      <c r="O53" s="68">
        <v>0</v>
      </c>
      <c r="P53" s="68">
        <v>2</v>
      </c>
      <c r="Q53" s="68">
        <v>0</v>
      </c>
      <c r="R53" s="58">
        <v>0</v>
      </c>
      <c r="S53" s="58">
        <v>0</v>
      </c>
      <c r="T53" s="59">
        <v>0</v>
      </c>
      <c r="U53" s="57">
        <v>260</v>
      </c>
      <c r="V53" s="58">
        <v>360</v>
      </c>
      <c r="W53" s="58">
        <v>105</v>
      </c>
      <c r="X53" s="68">
        <v>0</v>
      </c>
      <c r="Y53" s="68">
        <v>3</v>
      </c>
      <c r="Z53" s="68">
        <v>0</v>
      </c>
      <c r="AA53" s="58">
        <v>0</v>
      </c>
      <c r="AB53" s="58">
        <v>0</v>
      </c>
      <c r="AC53" s="59">
        <v>0</v>
      </c>
      <c r="AD53" s="57">
        <v>105</v>
      </c>
      <c r="AE53" s="58">
        <v>360</v>
      </c>
      <c r="AF53" s="58">
        <v>260</v>
      </c>
      <c r="AG53" s="68">
        <v>0</v>
      </c>
      <c r="AH53" s="68">
        <v>3</v>
      </c>
      <c r="AI53" s="68">
        <v>0</v>
      </c>
      <c r="AJ53" s="58">
        <v>0</v>
      </c>
      <c r="AK53" s="58">
        <v>0</v>
      </c>
      <c r="AL53" s="59">
        <v>0</v>
      </c>
      <c r="AM53" s="57">
        <v>105</v>
      </c>
      <c r="AN53" s="58">
        <v>260</v>
      </c>
      <c r="AO53" s="58">
        <v>360</v>
      </c>
      <c r="AP53" s="68">
        <v>0</v>
      </c>
      <c r="AQ53" s="68">
        <v>2</v>
      </c>
      <c r="AR53" s="68">
        <v>1</v>
      </c>
      <c r="AS53" s="58">
        <v>0</v>
      </c>
      <c r="AT53" s="58">
        <v>1</v>
      </c>
      <c r="AU53" s="59">
        <v>0</v>
      </c>
      <c r="AV53" s="57">
        <v>260</v>
      </c>
      <c r="AW53" s="58">
        <v>105</v>
      </c>
      <c r="AX53" s="58">
        <v>360</v>
      </c>
      <c r="AY53" s="68">
        <v>0</v>
      </c>
      <c r="AZ53" s="68">
        <v>0</v>
      </c>
      <c r="BA53" s="68">
        <v>1</v>
      </c>
      <c r="BB53" s="58">
        <v>0</v>
      </c>
      <c r="BC53" s="58">
        <v>1</v>
      </c>
      <c r="BD53" s="59">
        <v>0</v>
      </c>
      <c r="BE53" s="57">
        <v>360</v>
      </c>
      <c r="BF53" s="58">
        <v>105</v>
      </c>
      <c r="BG53" s="58">
        <v>260</v>
      </c>
      <c r="BH53" s="68">
        <v>0</v>
      </c>
      <c r="BI53" s="68">
        <v>0</v>
      </c>
      <c r="BJ53" s="68">
        <v>0</v>
      </c>
      <c r="BK53" s="58">
        <v>0</v>
      </c>
      <c r="BL53" s="58">
        <v>0</v>
      </c>
      <c r="BM53" s="59">
        <v>0</v>
      </c>
    </row>
    <row r="54" spans="1:65" x14ac:dyDescent="0.3">
      <c r="A54" s="83">
        <v>6</v>
      </c>
      <c r="B54" s="70">
        <v>14007839</v>
      </c>
      <c r="C54" s="66" t="str">
        <v>PASSENGER SIDE KNEE COVER RHD ASSY</v>
      </c>
      <c r="D54" s="58">
        <v>380</v>
      </c>
      <c r="E54" s="58">
        <v>110</v>
      </c>
      <c r="F54" s="58">
        <v>295</v>
      </c>
      <c r="G54" s="58">
        <v>64</v>
      </c>
      <c r="H54" s="58">
        <v>1</v>
      </c>
      <c r="I54" s="58">
        <v>64</v>
      </c>
      <c r="J54" s="58">
        <v>50</v>
      </c>
      <c r="K54" s="72" t="str">
        <v>Crate (400 x 300 x 170) mm</v>
      </c>
      <c r="L54" s="57">
        <v>360</v>
      </c>
      <c r="M54" s="58">
        <v>260</v>
      </c>
      <c r="N54" s="58">
        <v>155</v>
      </c>
      <c r="O54" s="68">
        <v>0</v>
      </c>
      <c r="P54" s="68">
        <v>2</v>
      </c>
      <c r="Q54" s="68">
        <v>0</v>
      </c>
      <c r="R54" s="58">
        <v>0</v>
      </c>
      <c r="S54" s="58">
        <v>0</v>
      </c>
      <c r="T54" s="59">
        <v>0</v>
      </c>
      <c r="U54" s="57">
        <v>260</v>
      </c>
      <c r="V54" s="58">
        <v>360</v>
      </c>
      <c r="W54" s="58">
        <v>155</v>
      </c>
      <c r="X54" s="68">
        <v>0</v>
      </c>
      <c r="Y54" s="68">
        <v>3</v>
      </c>
      <c r="Z54" s="68">
        <v>0</v>
      </c>
      <c r="AA54" s="58">
        <v>0</v>
      </c>
      <c r="AB54" s="58">
        <v>0</v>
      </c>
      <c r="AC54" s="59">
        <v>0</v>
      </c>
      <c r="AD54" s="57">
        <v>155</v>
      </c>
      <c r="AE54" s="58">
        <v>360</v>
      </c>
      <c r="AF54" s="58">
        <v>260</v>
      </c>
      <c r="AG54" s="68">
        <v>0</v>
      </c>
      <c r="AH54" s="68">
        <v>3</v>
      </c>
      <c r="AI54" s="68">
        <v>0</v>
      </c>
      <c r="AJ54" s="58">
        <v>0</v>
      </c>
      <c r="AK54" s="58">
        <v>0</v>
      </c>
      <c r="AL54" s="59">
        <v>0</v>
      </c>
      <c r="AM54" s="57">
        <v>155</v>
      </c>
      <c r="AN54" s="58">
        <v>260</v>
      </c>
      <c r="AO54" s="58">
        <v>360</v>
      </c>
      <c r="AP54" s="68">
        <v>0</v>
      </c>
      <c r="AQ54" s="68">
        <v>2</v>
      </c>
      <c r="AR54" s="68">
        <v>1</v>
      </c>
      <c r="AS54" s="58">
        <v>0</v>
      </c>
      <c r="AT54" s="58">
        <v>1</v>
      </c>
      <c r="AU54" s="59">
        <v>0</v>
      </c>
      <c r="AV54" s="57">
        <v>260</v>
      </c>
      <c r="AW54" s="58">
        <v>155</v>
      </c>
      <c r="AX54" s="58">
        <v>360</v>
      </c>
      <c r="AY54" s="68">
        <v>0</v>
      </c>
      <c r="AZ54" s="68">
        <v>1</v>
      </c>
      <c r="BA54" s="68">
        <v>1</v>
      </c>
      <c r="BB54" s="58">
        <v>0</v>
      </c>
      <c r="BC54" s="58">
        <v>1</v>
      </c>
      <c r="BD54" s="59">
        <v>0</v>
      </c>
      <c r="BE54" s="57">
        <v>360</v>
      </c>
      <c r="BF54" s="58">
        <v>155</v>
      </c>
      <c r="BG54" s="58">
        <v>260</v>
      </c>
      <c r="BH54" s="68">
        <v>0</v>
      </c>
      <c r="BI54" s="68">
        <v>1</v>
      </c>
      <c r="BJ54" s="68">
        <v>0</v>
      </c>
      <c r="BK54" s="58">
        <v>0</v>
      </c>
      <c r="BL54" s="58">
        <v>0</v>
      </c>
      <c r="BM54" s="59">
        <v>0</v>
      </c>
    </row>
    <row r="55" spans="1:65" ht="15" thickBot="1" x14ac:dyDescent="0.35">
      <c r="A55" s="85">
        <v>6</v>
      </c>
      <c r="B55" s="81">
        <v>14007839</v>
      </c>
      <c r="C55" s="77" t="str">
        <v>PASSENGER SIDE KNEE COVER RHD ASSY</v>
      </c>
      <c r="D55" s="64">
        <v>380</v>
      </c>
      <c r="E55" s="64">
        <v>110</v>
      </c>
      <c r="F55" s="64">
        <v>295</v>
      </c>
      <c r="G55" s="64">
        <v>64</v>
      </c>
      <c r="H55" s="64">
        <v>1</v>
      </c>
      <c r="I55" s="64">
        <v>64</v>
      </c>
      <c r="J55" s="64">
        <v>50</v>
      </c>
      <c r="K55" s="78" t="str">
        <v>Crate (400 x 300 x 220) mm</v>
      </c>
      <c r="L55" s="63">
        <v>360</v>
      </c>
      <c r="M55" s="64">
        <v>260</v>
      </c>
      <c r="N55" s="64">
        <v>205</v>
      </c>
      <c r="O55" s="79">
        <v>0</v>
      </c>
      <c r="P55" s="79">
        <v>2</v>
      </c>
      <c r="Q55" s="79">
        <v>0</v>
      </c>
      <c r="R55" s="64">
        <v>0</v>
      </c>
      <c r="S55" s="64">
        <v>0</v>
      </c>
      <c r="T55" s="65">
        <v>0</v>
      </c>
      <c r="U55" s="63">
        <v>260</v>
      </c>
      <c r="V55" s="64">
        <v>360</v>
      </c>
      <c r="W55" s="64">
        <v>205</v>
      </c>
      <c r="X55" s="79">
        <v>0</v>
      </c>
      <c r="Y55" s="79">
        <v>3</v>
      </c>
      <c r="Z55" s="79">
        <v>0</v>
      </c>
      <c r="AA55" s="64">
        <v>0</v>
      </c>
      <c r="AB55" s="64">
        <v>0</v>
      </c>
      <c r="AC55" s="65">
        <v>0</v>
      </c>
      <c r="AD55" s="63">
        <v>205</v>
      </c>
      <c r="AE55" s="64">
        <v>360</v>
      </c>
      <c r="AF55" s="64">
        <v>260</v>
      </c>
      <c r="AG55" s="79">
        <v>0</v>
      </c>
      <c r="AH55" s="79">
        <v>3</v>
      </c>
      <c r="AI55" s="79">
        <v>0</v>
      </c>
      <c r="AJ55" s="64">
        <v>0</v>
      </c>
      <c r="AK55" s="64">
        <v>0</v>
      </c>
      <c r="AL55" s="65">
        <v>0</v>
      </c>
      <c r="AM55" s="63">
        <v>205</v>
      </c>
      <c r="AN55" s="64">
        <v>260</v>
      </c>
      <c r="AO55" s="64">
        <v>360</v>
      </c>
      <c r="AP55" s="79">
        <v>0</v>
      </c>
      <c r="AQ55" s="79">
        <v>2</v>
      </c>
      <c r="AR55" s="79">
        <v>1</v>
      </c>
      <c r="AS55" s="64">
        <v>0</v>
      </c>
      <c r="AT55" s="64">
        <v>1</v>
      </c>
      <c r="AU55" s="65">
        <v>0</v>
      </c>
      <c r="AV55" s="63">
        <v>260</v>
      </c>
      <c r="AW55" s="64">
        <v>205</v>
      </c>
      <c r="AX55" s="64">
        <v>360</v>
      </c>
      <c r="AY55" s="79">
        <v>0</v>
      </c>
      <c r="AZ55" s="79">
        <v>1</v>
      </c>
      <c r="BA55" s="79">
        <v>1</v>
      </c>
      <c r="BB55" s="64">
        <v>0</v>
      </c>
      <c r="BC55" s="64">
        <v>1</v>
      </c>
      <c r="BD55" s="65">
        <v>0</v>
      </c>
      <c r="BE55" s="63">
        <v>360</v>
      </c>
      <c r="BF55" s="64">
        <v>205</v>
      </c>
      <c r="BG55" s="64">
        <v>260</v>
      </c>
      <c r="BH55" s="79">
        <v>0</v>
      </c>
      <c r="BI55" s="79">
        <v>1</v>
      </c>
      <c r="BJ55" s="79">
        <v>0</v>
      </c>
      <c r="BK55" s="64">
        <v>0</v>
      </c>
      <c r="BL55" s="64">
        <v>0</v>
      </c>
      <c r="BM55" s="65">
        <v>0</v>
      </c>
    </row>
    <row r="56" spans="1:65" x14ac:dyDescent="0.3">
      <c r="A56" s="82">
        <v>7</v>
      </c>
      <c r="B56" s="80">
        <v>14007840</v>
      </c>
      <c r="C56" s="74" t="str">
        <v>END CAP LH ASSY</v>
      </c>
      <c r="D56" s="55">
        <v>130</v>
      </c>
      <c r="E56" s="55">
        <v>50</v>
      </c>
      <c r="F56" s="55">
        <v>385</v>
      </c>
      <c r="G56" s="55">
        <v>192</v>
      </c>
      <c r="H56" s="55">
        <v>1</v>
      </c>
      <c r="I56" s="55">
        <v>192</v>
      </c>
      <c r="J56" s="55">
        <v>18</v>
      </c>
      <c r="K56" s="75" t="str">
        <v>FLC ( 1200 x 1000 x 800) mm</v>
      </c>
      <c r="L56" s="54">
        <v>1120</v>
      </c>
      <c r="M56" s="55">
        <v>920</v>
      </c>
      <c r="N56" s="55">
        <v>640</v>
      </c>
      <c r="O56" s="76">
        <v>8</v>
      </c>
      <c r="P56" s="76">
        <v>16</v>
      </c>
      <c r="Q56" s="76">
        <v>1</v>
      </c>
      <c r="R56" s="55">
        <v>128</v>
      </c>
      <c r="S56" s="55">
        <v>1</v>
      </c>
      <c r="T56" s="56">
        <v>128</v>
      </c>
      <c r="U56" s="54">
        <v>920</v>
      </c>
      <c r="V56" s="55">
        <v>1120</v>
      </c>
      <c r="W56" s="55">
        <v>640</v>
      </c>
      <c r="X56" s="76">
        <v>6</v>
      </c>
      <c r="Y56" s="76">
        <v>20</v>
      </c>
      <c r="Z56" s="76">
        <v>1</v>
      </c>
      <c r="AA56" s="55">
        <v>120</v>
      </c>
      <c r="AB56" s="55">
        <v>1</v>
      </c>
      <c r="AC56" s="56">
        <v>120</v>
      </c>
      <c r="AD56" s="54">
        <v>640</v>
      </c>
      <c r="AE56" s="55">
        <v>1120</v>
      </c>
      <c r="AF56" s="55">
        <v>920</v>
      </c>
      <c r="AG56" s="76">
        <v>4</v>
      </c>
      <c r="AH56" s="76">
        <v>20</v>
      </c>
      <c r="AI56" s="76">
        <v>2</v>
      </c>
      <c r="AJ56" s="55">
        <v>80</v>
      </c>
      <c r="AK56" s="55">
        <v>2</v>
      </c>
      <c r="AL56" s="56">
        <v>160</v>
      </c>
      <c r="AM56" s="54">
        <v>640</v>
      </c>
      <c r="AN56" s="55">
        <v>920</v>
      </c>
      <c r="AO56" s="55">
        <v>1120</v>
      </c>
      <c r="AP56" s="76">
        <v>4</v>
      </c>
      <c r="AQ56" s="76">
        <v>16</v>
      </c>
      <c r="AR56" s="76">
        <v>2</v>
      </c>
      <c r="AS56" s="55">
        <v>64</v>
      </c>
      <c r="AT56" s="55">
        <v>2</v>
      </c>
      <c r="AU56" s="56">
        <v>128</v>
      </c>
      <c r="AV56" s="54">
        <v>920</v>
      </c>
      <c r="AW56" s="55">
        <v>640</v>
      </c>
      <c r="AX56" s="55">
        <v>1120</v>
      </c>
      <c r="AY56" s="76">
        <v>6</v>
      </c>
      <c r="AZ56" s="76">
        <v>11</v>
      </c>
      <c r="BA56" s="76">
        <v>2</v>
      </c>
      <c r="BB56" s="55">
        <v>66</v>
      </c>
      <c r="BC56" s="55">
        <v>2</v>
      </c>
      <c r="BD56" s="56">
        <v>132</v>
      </c>
      <c r="BE56" s="54">
        <v>1120</v>
      </c>
      <c r="BF56" s="55">
        <v>640</v>
      </c>
      <c r="BG56" s="55">
        <v>920</v>
      </c>
      <c r="BH56" s="76">
        <v>8</v>
      </c>
      <c r="BI56" s="76">
        <v>11</v>
      </c>
      <c r="BJ56" s="76">
        <v>2</v>
      </c>
      <c r="BK56" s="55">
        <v>88</v>
      </c>
      <c r="BL56" s="55">
        <v>2</v>
      </c>
      <c r="BM56" s="56">
        <v>176</v>
      </c>
    </row>
    <row r="57" spans="1:65" x14ac:dyDescent="0.3">
      <c r="A57" s="83">
        <v>7</v>
      </c>
      <c r="B57" s="70">
        <v>14007840</v>
      </c>
      <c r="C57" s="66" t="str">
        <v>END CAP LH ASSY</v>
      </c>
      <c r="D57" s="58">
        <v>130</v>
      </c>
      <c r="E57" s="58">
        <v>50</v>
      </c>
      <c r="F57" s="58">
        <v>385</v>
      </c>
      <c r="G57" s="58">
        <v>192</v>
      </c>
      <c r="H57" s="58">
        <v>1</v>
      </c>
      <c r="I57" s="58">
        <v>192</v>
      </c>
      <c r="J57" s="58">
        <v>18</v>
      </c>
      <c r="K57" s="72" t="str">
        <v>FLC ( 1200 x 800 x 975) mm</v>
      </c>
      <c r="L57" s="57">
        <v>1155</v>
      </c>
      <c r="M57" s="58">
        <v>755</v>
      </c>
      <c r="N57" s="58">
        <v>780</v>
      </c>
      <c r="O57" s="68">
        <v>8</v>
      </c>
      <c r="P57" s="68">
        <v>13</v>
      </c>
      <c r="Q57" s="68">
        <v>2</v>
      </c>
      <c r="R57" s="58">
        <v>104</v>
      </c>
      <c r="S57" s="58">
        <v>2</v>
      </c>
      <c r="T57" s="59">
        <v>208</v>
      </c>
      <c r="U57" s="57">
        <v>755</v>
      </c>
      <c r="V57" s="58">
        <v>1155</v>
      </c>
      <c r="W57" s="58">
        <v>780</v>
      </c>
      <c r="X57" s="68">
        <v>5</v>
      </c>
      <c r="Y57" s="68">
        <v>21</v>
      </c>
      <c r="Z57" s="68">
        <v>2</v>
      </c>
      <c r="AA57" s="58">
        <v>105</v>
      </c>
      <c r="AB57" s="58">
        <v>2</v>
      </c>
      <c r="AC57" s="59">
        <v>210</v>
      </c>
      <c r="AD57" s="57">
        <v>780</v>
      </c>
      <c r="AE57" s="58">
        <v>1155</v>
      </c>
      <c r="AF57" s="58">
        <v>755</v>
      </c>
      <c r="AG57" s="68">
        <v>5</v>
      </c>
      <c r="AH57" s="68">
        <v>21</v>
      </c>
      <c r="AI57" s="68">
        <v>1</v>
      </c>
      <c r="AJ57" s="58">
        <v>105</v>
      </c>
      <c r="AK57" s="58">
        <v>1</v>
      </c>
      <c r="AL57" s="59">
        <v>105</v>
      </c>
      <c r="AM57" s="57">
        <v>780</v>
      </c>
      <c r="AN57" s="58">
        <v>755</v>
      </c>
      <c r="AO57" s="58">
        <v>1155</v>
      </c>
      <c r="AP57" s="68">
        <v>5</v>
      </c>
      <c r="AQ57" s="68">
        <v>13</v>
      </c>
      <c r="AR57" s="68">
        <v>2</v>
      </c>
      <c r="AS57" s="58">
        <v>65</v>
      </c>
      <c r="AT57" s="58">
        <v>2</v>
      </c>
      <c r="AU57" s="59">
        <v>130</v>
      </c>
      <c r="AV57" s="57">
        <v>755</v>
      </c>
      <c r="AW57" s="58">
        <v>780</v>
      </c>
      <c r="AX57" s="58">
        <v>1155</v>
      </c>
      <c r="AY57" s="68">
        <v>5</v>
      </c>
      <c r="AZ57" s="68">
        <v>14</v>
      </c>
      <c r="BA57" s="68">
        <v>2</v>
      </c>
      <c r="BB57" s="58">
        <v>70</v>
      </c>
      <c r="BC57" s="58">
        <v>2</v>
      </c>
      <c r="BD57" s="59">
        <v>140</v>
      </c>
      <c r="BE57" s="57">
        <v>1155</v>
      </c>
      <c r="BF57" s="58">
        <v>780</v>
      </c>
      <c r="BG57" s="58">
        <v>755</v>
      </c>
      <c r="BH57" s="68">
        <v>8</v>
      </c>
      <c r="BI57" s="68">
        <v>14</v>
      </c>
      <c r="BJ57" s="68">
        <v>1</v>
      </c>
      <c r="BK57" s="58">
        <v>112</v>
      </c>
      <c r="BL57" s="58">
        <v>1</v>
      </c>
      <c r="BM57" s="59">
        <v>112</v>
      </c>
    </row>
    <row r="58" spans="1:65" x14ac:dyDescent="0.3">
      <c r="A58" s="83">
        <v>7</v>
      </c>
      <c r="B58" s="70">
        <v>14007840</v>
      </c>
      <c r="C58" s="66" t="str">
        <v>END CAP LH ASSY</v>
      </c>
      <c r="D58" s="58">
        <v>130</v>
      </c>
      <c r="E58" s="58">
        <v>50</v>
      </c>
      <c r="F58" s="58">
        <v>385</v>
      </c>
      <c r="G58" s="58">
        <v>192</v>
      </c>
      <c r="H58" s="58">
        <v>1</v>
      </c>
      <c r="I58" s="58">
        <v>192</v>
      </c>
      <c r="J58" s="58">
        <v>18</v>
      </c>
      <c r="K58" s="72" t="str">
        <v>FCS (810 x 760 x 860)mm</v>
      </c>
      <c r="L58" s="57">
        <v>780</v>
      </c>
      <c r="M58" s="58">
        <v>730</v>
      </c>
      <c r="N58" s="58">
        <v>720</v>
      </c>
      <c r="O58" s="68">
        <v>5</v>
      </c>
      <c r="P58" s="68">
        <v>13</v>
      </c>
      <c r="Q58" s="68">
        <v>1</v>
      </c>
      <c r="R58" s="58">
        <v>65</v>
      </c>
      <c r="S58" s="58">
        <v>1</v>
      </c>
      <c r="T58" s="59">
        <v>65</v>
      </c>
      <c r="U58" s="57">
        <v>730</v>
      </c>
      <c r="V58" s="58">
        <v>780</v>
      </c>
      <c r="W58" s="58">
        <v>720</v>
      </c>
      <c r="X58" s="68">
        <v>5</v>
      </c>
      <c r="Y58" s="68">
        <v>14</v>
      </c>
      <c r="Z58" s="68">
        <v>1</v>
      </c>
      <c r="AA58" s="58">
        <v>70</v>
      </c>
      <c r="AB58" s="58">
        <v>1</v>
      </c>
      <c r="AC58" s="59">
        <v>70</v>
      </c>
      <c r="AD58" s="57">
        <v>720</v>
      </c>
      <c r="AE58" s="58">
        <v>780</v>
      </c>
      <c r="AF58" s="58">
        <v>730</v>
      </c>
      <c r="AG58" s="68">
        <v>5</v>
      </c>
      <c r="AH58" s="68">
        <v>14</v>
      </c>
      <c r="AI58" s="68">
        <v>1</v>
      </c>
      <c r="AJ58" s="58">
        <v>70</v>
      </c>
      <c r="AK58" s="58">
        <v>1</v>
      </c>
      <c r="AL58" s="59">
        <v>70</v>
      </c>
      <c r="AM58" s="57">
        <v>720</v>
      </c>
      <c r="AN58" s="58">
        <v>730</v>
      </c>
      <c r="AO58" s="58">
        <v>780</v>
      </c>
      <c r="AP58" s="68">
        <v>5</v>
      </c>
      <c r="AQ58" s="68">
        <v>13</v>
      </c>
      <c r="AR58" s="68">
        <v>2</v>
      </c>
      <c r="AS58" s="58">
        <v>65</v>
      </c>
      <c r="AT58" s="58">
        <v>2</v>
      </c>
      <c r="AU58" s="59">
        <v>130</v>
      </c>
      <c r="AV58" s="57">
        <v>730</v>
      </c>
      <c r="AW58" s="58">
        <v>720</v>
      </c>
      <c r="AX58" s="58">
        <v>780</v>
      </c>
      <c r="AY58" s="68">
        <v>5</v>
      </c>
      <c r="AZ58" s="68">
        <v>13</v>
      </c>
      <c r="BA58" s="68">
        <v>2</v>
      </c>
      <c r="BB58" s="58">
        <v>65</v>
      </c>
      <c r="BC58" s="58">
        <v>2</v>
      </c>
      <c r="BD58" s="59">
        <v>130</v>
      </c>
      <c r="BE58" s="57">
        <v>780</v>
      </c>
      <c r="BF58" s="58">
        <v>720</v>
      </c>
      <c r="BG58" s="58">
        <v>730</v>
      </c>
      <c r="BH58" s="68">
        <v>5</v>
      </c>
      <c r="BI58" s="68">
        <v>13</v>
      </c>
      <c r="BJ58" s="68">
        <v>1</v>
      </c>
      <c r="BK58" s="58">
        <v>65</v>
      </c>
      <c r="BL58" s="58">
        <v>1</v>
      </c>
      <c r="BM58" s="59">
        <v>65</v>
      </c>
    </row>
    <row r="59" spans="1:65" x14ac:dyDescent="0.3">
      <c r="A59" s="83">
        <v>7</v>
      </c>
      <c r="B59" s="70">
        <v>14007840</v>
      </c>
      <c r="C59" s="66" t="str">
        <v>END CAP LH ASSY</v>
      </c>
      <c r="D59" s="58">
        <v>130</v>
      </c>
      <c r="E59" s="58">
        <v>50</v>
      </c>
      <c r="F59" s="58">
        <v>385</v>
      </c>
      <c r="G59" s="58">
        <v>192</v>
      </c>
      <c r="H59" s="58">
        <v>1</v>
      </c>
      <c r="I59" s="58">
        <v>192</v>
      </c>
      <c r="J59" s="58">
        <v>18</v>
      </c>
      <c r="K59" s="72" t="str">
        <v>Crate (600 x 400 x 120) mm</v>
      </c>
      <c r="L59" s="57">
        <v>560</v>
      </c>
      <c r="M59" s="58">
        <v>360</v>
      </c>
      <c r="N59" s="58">
        <v>105</v>
      </c>
      <c r="O59" s="68">
        <v>4</v>
      </c>
      <c r="P59" s="68">
        <v>6</v>
      </c>
      <c r="Q59" s="68">
        <v>0</v>
      </c>
      <c r="R59" s="58">
        <v>24</v>
      </c>
      <c r="S59" s="58">
        <v>0</v>
      </c>
      <c r="T59" s="59">
        <v>0</v>
      </c>
      <c r="U59" s="57">
        <v>360</v>
      </c>
      <c r="V59" s="58">
        <v>560</v>
      </c>
      <c r="W59" s="58">
        <v>105</v>
      </c>
      <c r="X59" s="68">
        <v>2</v>
      </c>
      <c r="Y59" s="68">
        <v>10</v>
      </c>
      <c r="Z59" s="68">
        <v>0</v>
      </c>
      <c r="AA59" s="58">
        <v>20</v>
      </c>
      <c r="AB59" s="58">
        <v>0</v>
      </c>
      <c r="AC59" s="59">
        <v>0</v>
      </c>
      <c r="AD59" s="57">
        <v>105</v>
      </c>
      <c r="AE59" s="58">
        <v>560</v>
      </c>
      <c r="AF59" s="58">
        <v>360</v>
      </c>
      <c r="AG59" s="68">
        <v>0</v>
      </c>
      <c r="AH59" s="68">
        <v>10</v>
      </c>
      <c r="AI59" s="68">
        <v>0</v>
      </c>
      <c r="AJ59" s="58">
        <v>0</v>
      </c>
      <c r="AK59" s="58">
        <v>0</v>
      </c>
      <c r="AL59" s="59">
        <v>0</v>
      </c>
      <c r="AM59" s="57">
        <v>105</v>
      </c>
      <c r="AN59" s="58">
        <v>360</v>
      </c>
      <c r="AO59" s="58">
        <v>560</v>
      </c>
      <c r="AP59" s="68">
        <v>0</v>
      </c>
      <c r="AQ59" s="68">
        <v>6</v>
      </c>
      <c r="AR59" s="68">
        <v>1</v>
      </c>
      <c r="AS59" s="58">
        <v>0</v>
      </c>
      <c r="AT59" s="58">
        <v>1</v>
      </c>
      <c r="AU59" s="59">
        <v>0</v>
      </c>
      <c r="AV59" s="57">
        <v>360</v>
      </c>
      <c r="AW59" s="58">
        <v>105</v>
      </c>
      <c r="AX59" s="58">
        <v>560</v>
      </c>
      <c r="AY59" s="68">
        <v>2</v>
      </c>
      <c r="AZ59" s="68">
        <v>1</v>
      </c>
      <c r="BA59" s="68">
        <v>1</v>
      </c>
      <c r="BB59" s="58">
        <v>2</v>
      </c>
      <c r="BC59" s="58">
        <v>1</v>
      </c>
      <c r="BD59" s="59">
        <v>2</v>
      </c>
      <c r="BE59" s="57">
        <v>560</v>
      </c>
      <c r="BF59" s="58">
        <v>105</v>
      </c>
      <c r="BG59" s="58">
        <v>360</v>
      </c>
      <c r="BH59" s="68">
        <v>4</v>
      </c>
      <c r="BI59" s="68">
        <v>1</v>
      </c>
      <c r="BJ59" s="68">
        <v>0</v>
      </c>
      <c r="BK59" s="58">
        <v>4</v>
      </c>
      <c r="BL59" s="58">
        <v>0</v>
      </c>
      <c r="BM59" s="59">
        <v>0</v>
      </c>
    </row>
    <row r="60" spans="1:65" x14ac:dyDescent="0.3">
      <c r="A60" s="83">
        <v>7</v>
      </c>
      <c r="B60" s="70">
        <v>14007840</v>
      </c>
      <c r="C60" s="66" t="str">
        <v>END CAP LH ASSY</v>
      </c>
      <c r="D60" s="58">
        <v>130</v>
      </c>
      <c r="E60" s="58">
        <v>50</v>
      </c>
      <c r="F60" s="58">
        <v>385</v>
      </c>
      <c r="G60" s="58">
        <v>192</v>
      </c>
      <c r="H60" s="58">
        <v>1</v>
      </c>
      <c r="I60" s="58">
        <v>192</v>
      </c>
      <c r="J60" s="58">
        <v>18</v>
      </c>
      <c r="K60" s="72" t="str">
        <v>Crate (600 x 400 x 170) mm</v>
      </c>
      <c r="L60" s="57">
        <v>560</v>
      </c>
      <c r="M60" s="58">
        <v>360</v>
      </c>
      <c r="N60" s="58">
        <v>155</v>
      </c>
      <c r="O60" s="68">
        <v>4</v>
      </c>
      <c r="P60" s="68">
        <v>6</v>
      </c>
      <c r="Q60" s="68">
        <v>0</v>
      </c>
      <c r="R60" s="58">
        <v>24</v>
      </c>
      <c r="S60" s="58">
        <v>0</v>
      </c>
      <c r="T60" s="59">
        <v>0</v>
      </c>
      <c r="U60" s="57">
        <v>360</v>
      </c>
      <c r="V60" s="58">
        <v>560</v>
      </c>
      <c r="W60" s="58">
        <v>155</v>
      </c>
      <c r="X60" s="68">
        <v>2</v>
      </c>
      <c r="Y60" s="68">
        <v>10</v>
      </c>
      <c r="Z60" s="68">
        <v>0</v>
      </c>
      <c r="AA60" s="58">
        <v>20</v>
      </c>
      <c r="AB60" s="58">
        <v>0</v>
      </c>
      <c r="AC60" s="59">
        <v>0</v>
      </c>
      <c r="AD60" s="57">
        <v>155</v>
      </c>
      <c r="AE60" s="58">
        <v>560</v>
      </c>
      <c r="AF60" s="58">
        <v>360</v>
      </c>
      <c r="AG60" s="68">
        <v>1</v>
      </c>
      <c r="AH60" s="68">
        <v>10</v>
      </c>
      <c r="AI60" s="68">
        <v>0</v>
      </c>
      <c r="AJ60" s="58">
        <v>10</v>
      </c>
      <c r="AK60" s="58">
        <v>0</v>
      </c>
      <c r="AL60" s="59">
        <v>0</v>
      </c>
      <c r="AM60" s="57">
        <v>155</v>
      </c>
      <c r="AN60" s="58">
        <v>360</v>
      </c>
      <c r="AO60" s="58">
        <v>560</v>
      </c>
      <c r="AP60" s="68">
        <v>1</v>
      </c>
      <c r="AQ60" s="68">
        <v>6</v>
      </c>
      <c r="AR60" s="68">
        <v>1</v>
      </c>
      <c r="AS60" s="58">
        <v>6</v>
      </c>
      <c r="AT60" s="58">
        <v>1</v>
      </c>
      <c r="AU60" s="59">
        <v>6</v>
      </c>
      <c r="AV60" s="57">
        <v>360</v>
      </c>
      <c r="AW60" s="58">
        <v>155</v>
      </c>
      <c r="AX60" s="58">
        <v>560</v>
      </c>
      <c r="AY60" s="68">
        <v>2</v>
      </c>
      <c r="AZ60" s="68">
        <v>2</v>
      </c>
      <c r="BA60" s="68">
        <v>1</v>
      </c>
      <c r="BB60" s="58">
        <v>4</v>
      </c>
      <c r="BC60" s="58">
        <v>1</v>
      </c>
      <c r="BD60" s="59">
        <v>4</v>
      </c>
      <c r="BE60" s="57">
        <v>560</v>
      </c>
      <c r="BF60" s="58">
        <v>155</v>
      </c>
      <c r="BG60" s="58">
        <v>360</v>
      </c>
      <c r="BH60" s="68">
        <v>4</v>
      </c>
      <c r="BI60" s="68">
        <v>2</v>
      </c>
      <c r="BJ60" s="68">
        <v>0</v>
      </c>
      <c r="BK60" s="58">
        <v>8</v>
      </c>
      <c r="BL60" s="58">
        <v>0</v>
      </c>
      <c r="BM60" s="59">
        <v>0</v>
      </c>
    </row>
    <row r="61" spans="1:65" x14ac:dyDescent="0.3">
      <c r="A61" s="83">
        <v>7</v>
      </c>
      <c r="B61" s="70">
        <v>14007840</v>
      </c>
      <c r="C61" s="66" t="str">
        <v>END CAP LH ASSY</v>
      </c>
      <c r="D61" s="58">
        <v>130</v>
      </c>
      <c r="E61" s="58">
        <v>50</v>
      </c>
      <c r="F61" s="58">
        <v>385</v>
      </c>
      <c r="G61" s="58">
        <v>192</v>
      </c>
      <c r="H61" s="58">
        <v>1</v>
      </c>
      <c r="I61" s="58">
        <v>192</v>
      </c>
      <c r="J61" s="58">
        <v>18</v>
      </c>
      <c r="K61" s="72" t="str">
        <v>Crate (600 x 400 x 220) mm</v>
      </c>
      <c r="L61" s="57">
        <v>560</v>
      </c>
      <c r="M61" s="58">
        <v>360</v>
      </c>
      <c r="N61" s="58">
        <v>205</v>
      </c>
      <c r="O61" s="68">
        <v>4</v>
      </c>
      <c r="P61" s="68">
        <v>6</v>
      </c>
      <c r="Q61" s="68">
        <v>0</v>
      </c>
      <c r="R61" s="58">
        <v>24</v>
      </c>
      <c r="S61" s="58">
        <v>0</v>
      </c>
      <c r="T61" s="59">
        <v>0</v>
      </c>
      <c r="U61" s="57">
        <v>360</v>
      </c>
      <c r="V61" s="58">
        <v>560</v>
      </c>
      <c r="W61" s="58">
        <v>205</v>
      </c>
      <c r="X61" s="68">
        <v>2</v>
      </c>
      <c r="Y61" s="68">
        <v>10</v>
      </c>
      <c r="Z61" s="68">
        <v>0</v>
      </c>
      <c r="AA61" s="58">
        <v>20</v>
      </c>
      <c r="AB61" s="58">
        <v>0</v>
      </c>
      <c r="AC61" s="59">
        <v>0</v>
      </c>
      <c r="AD61" s="57">
        <v>205</v>
      </c>
      <c r="AE61" s="58">
        <v>560</v>
      </c>
      <c r="AF61" s="58">
        <v>360</v>
      </c>
      <c r="AG61" s="68">
        <v>1</v>
      </c>
      <c r="AH61" s="68">
        <v>10</v>
      </c>
      <c r="AI61" s="68">
        <v>0</v>
      </c>
      <c r="AJ61" s="58">
        <v>10</v>
      </c>
      <c r="AK61" s="58">
        <v>0</v>
      </c>
      <c r="AL61" s="59">
        <v>0</v>
      </c>
      <c r="AM61" s="57">
        <v>205</v>
      </c>
      <c r="AN61" s="58">
        <v>360</v>
      </c>
      <c r="AO61" s="58">
        <v>560</v>
      </c>
      <c r="AP61" s="68">
        <v>1</v>
      </c>
      <c r="AQ61" s="68">
        <v>6</v>
      </c>
      <c r="AR61" s="68">
        <v>1</v>
      </c>
      <c r="AS61" s="58">
        <v>6</v>
      </c>
      <c r="AT61" s="58">
        <v>1</v>
      </c>
      <c r="AU61" s="59">
        <v>6</v>
      </c>
      <c r="AV61" s="57">
        <v>360</v>
      </c>
      <c r="AW61" s="58">
        <v>205</v>
      </c>
      <c r="AX61" s="58">
        <v>560</v>
      </c>
      <c r="AY61" s="68">
        <v>2</v>
      </c>
      <c r="AZ61" s="68">
        <v>3</v>
      </c>
      <c r="BA61" s="68">
        <v>1</v>
      </c>
      <c r="BB61" s="58">
        <v>6</v>
      </c>
      <c r="BC61" s="58">
        <v>1</v>
      </c>
      <c r="BD61" s="59">
        <v>6</v>
      </c>
      <c r="BE61" s="57">
        <v>560</v>
      </c>
      <c r="BF61" s="58">
        <v>205</v>
      </c>
      <c r="BG61" s="58">
        <v>360</v>
      </c>
      <c r="BH61" s="68">
        <v>4</v>
      </c>
      <c r="BI61" s="68">
        <v>3</v>
      </c>
      <c r="BJ61" s="68">
        <v>0</v>
      </c>
      <c r="BK61" s="58">
        <v>12</v>
      </c>
      <c r="BL61" s="58">
        <v>0</v>
      </c>
      <c r="BM61" s="59">
        <v>0</v>
      </c>
    </row>
    <row r="62" spans="1:65" x14ac:dyDescent="0.3">
      <c r="A62" s="83">
        <v>7</v>
      </c>
      <c r="B62" s="70">
        <v>14007840</v>
      </c>
      <c r="C62" s="66" t="str">
        <v>END CAP LH ASSY</v>
      </c>
      <c r="D62" s="58">
        <v>130</v>
      </c>
      <c r="E62" s="58">
        <v>50</v>
      </c>
      <c r="F62" s="58">
        <v>385</v>
      </c>
      <c r="G62" s="58">
        <v>192</v>
      </c>
      <c r="H62" s="58">
        <v>1</v>
      </c>
      <c r="I62" s="58">
        <v>192</v>
      </c>
      <c r="J62" s="58">
        <v>18</v>
      </c>
      <c r="K62" s="72" t="str">
        <v>Crate (400 x 300 x 120) mm</v>
      </c>
      <c r="L62" s="57">
        <v>360</v>
      </c>
      <c r="M62" s="58">
        <v>260</v>
      </c>
      <c r="N62" s="58">
        <v>105</v>
      </c>
      <c r="O62" s="68">
        <v>2</v>
      </c>
      <c r="P62" s="68">
        <v>4</v>
      </c>
      <c r="Q62" s="68">
        <v>0</v>
      </c>
      <c r="R62" s="58">
        <v>8</v>
      </c>
      <c r="S62" s="58">
        <v>0</v>
      </c>
      <c r="T62" s="59">
        <v>0</v>
      </c>
      <c r="U62" s="57">
        <v>260</v>
      </c>
      <c r="V62" s="58">
        <v>360</v>
      </c>
      <c r="W62" s="58">
        <v>105</v>
      </c>
      <c r="X62" s="68">
        <v>1</v>
      </c>
      <c r="Y62" s="68">
        <v>6</v>
      </c>
      <c r="Z62" s="68">
        <v>0</v>
      </c>
      <c r="AA62" s="58">
        <v>6</v>
      </c>
      <c r="AB62" s="58">
        <v>0</v>
      </c>
      <c r="AC62" s="59">
        <v>0</v>
      </c>
      <c r="AD62" s="57">
        <v>105</v>
      </c>
      <c r="AE62" s="58">
        <v>360</v>
      </c>
      <c r="AF62" s="58">
        <v>260</v>
      </c>
      <c r="AG62" s="68">
        <v>0</v>
      </c>
      <c r="AH62" s="68">
        <v>6</v>
      </c>
      <c r="AI62" s="68">
        <v>0</v>
      </c>
      <c r="AJ62" s="58">
        <v>0</v>
      </c>
      <c r="AK62" s="58">
        <v>0</v>
      </c>
      <c r="AL62" s="59">
        <v>0</v>
      </c>
      <c r="AM62" s="57">
        <v>105</v>
      </c>
      <c r="AN62" s="58">
        <v>260</v>
      </c>
      <c r="AO62" s="58">
        <v>360</v>
      </c>
      <c r="AP62" s="68">
        <v>0</v>
      </c>
      <c r="AQ62" s="68">
        <v>4</v>
      </c>
      <c r="AR62" s="68">
        <v>0</v>
      </c>
      <c r="AS62" s="58">
        <v>0</v>
      </c>
      <c r="AT62" s="58">
        <v>0</v>
      </c>
      <c r="AU62" s="59">
        <v>0</v>
      </c>
      <c r="AV62" s="57">
        <v>260</v>
      </c>
      <c r="AW62" s="58">
        <v>105</v>
      </c>
      <c r="AX62" s="58">
        <v>360</v>
      </c>
      <c r="AY62" s="68">
        <v>1</v>
      </c>
      <c r="AZ62" s="68">
        <v>1</v>
      </c>
      <c r="BA62" s="68">
        <v>0</v>
      </c>
      <c r="BB62" s="58">
        <v>1</v>
      </c>
      <c r="BC62" s="58">
        <v>0</v>
      </c>
      <c r="BD62" s="59">
        <v>0</v>
      </c>
      <c r="BE62" s="57">
        <v>360</v>
      </c>
      <c r="BF62" s="58">
        <v>105</v>
      </c>
      <c r="BG62" s="58">
        <v>260</v>
      </c>
      <c r="BH62" s="68">
        <v>2</v>
      </c>
      <c r="BI62" s="68">
        <v>1</v>
      </c>
      <c r="BJ62" s="68">
        <v>0</v>
      </c>
      <c r="BK62" s="58">
        <v>2</v>
      </c>
      <c r="BL62" s="58">
        <v>0</v>
      </c>
      <c r="BM62" s="59">
        <v>0</v>
      </c>
    </row>
    <row r="63" spans="1:65" x14ac:dyDescent="0.3">
      <c r="A63" s="83">
        <v>7</v>
      </c>
      <c r="B63" s="70">
        <v>14007840</v>
      </c>
      <c r="C63" s="66" t="str">
        <v>END CAP LH ASSY</v>
      </c>
      <c r="D63" s="58">
        <v>130</v>
      </c>
      <c r="E63" s="58">
        <v>50</v>
      </c>
      <c r="F63" s="58">
        <v>385</v>
      </c>
      <c r="G63" s="58">
        <v>192</v>
      </c>
      <c r="H63" s="58">
        <v>1</v>
      </c>
      <c r="I63" s="58">
        <v>192</v>
      </c>
      <c r="J63" s="58">
        <v>18</v>
      </c>
      <c r="K63" s="72" t="str">
        <v>Crate (400 x 300 x 170) mm</v>
      </c>
      <c r="L63" s="57">
        <v>360</v>
      </c>
      <c r="M63" s="58">
        <v>260</v>
      </c>
      <c r="N63" s="58">
        <v>155</v>
      </c>
      <c r="O63" s="68">
        <v>2</v>
      </c>
      <c r="P63" s="68">
        <v>4</v>
      </c>
      <c r="Q63" s="68">
        <v>0</v>
      </c>
      <c r="R63" s="58">
        <v>8</v>
      </c>
      <c r="S63" s="58">
        <v>0</v>
      </c>
      <c r="T63" s="59">
        <v>0</v>
      </c>
      <c r="U63" s="57">
        <v>260</v>
      </c>
      <c r="V63" s="58">
        <v>360</v>
      </c>
      <c r="W63" s="58">
        <v>155</v>
      </c>
      <c r="X63" s="68">
        <v>1</v>
      </c>
      <c r="Y63" s="68">
        <v>6</v>
      </c>
      <c r="Z63" s="68">
        <v>0</v>
      </c>
      <c r="AA63" s="58">
        <v>6</v>
      </c>
      <c r="AB63" s="58">
        <v>0</v>
      </c>
      <c r="AC63" s="59">
        <v>0</v>
      </c>
      <c r="AD63" s="57">
        <v>155</v>
      </c>
      <c r="AE63" s="58">
        <v>360</v>
      </c>
      <c r="AF63" s="58">
        <v>260</v>
      </c>
      <c r="AG63" s="68">
        <v>1</v>
      </c>
      <c r="AH63" s="68">
        <v>6</v>
      </c>
      <c r="AI63" s="68">
        <v>0</v>
      </c>
      <c r="AJ63" s="58">
        <v>6</v>
      </c>
      <c r="AK63" s="58">
        <v>0</v>
      </c>
      <c r="AL63" s="59">
        <v>0</v>
      </c>
      <c r="AM63" s="57">
        <v>155</v>
      </c>
      <c r="AN63" s="58">
        <v>260</v>
      </c>
      <c r="AO63" s="58">
        <v>360</v>
      </c>
      <c r="AP63" s="68">
        <v>1</v>
      </c>
      <c r="AQ63" s="68">
        <v>4</v>
      </c>
      <c r="AR63" s="68">
        <v>0</v>
      </c>
      <c r="AS63" s="58">
        <v>4</v>
      </c>
      <c r="AT63" s="58">
        <v>0</v>
      </c>
      <c r="AU63" s="59">
        <v>0</v>
      </c>
      <c r="AV63" s="57">
        <v>260</v>
      </c>
      <c r="AW63" s="58">
        <v>155</v>
      </c>
      <c r="AX63" s="58">
        <v>360</v>
      </c>
      <c r="AY63" s="68">
        <v>1</v>
      </c>
      <c r="AZ63" s="68">
        <v>2</v>
      </c>
      <c r="BA63" s="68">
        <v>0</v>
      </c>
      <c r="BB63" s="58">
        <v>2</v>
      </c>
      <c r="BC63" s="58">
        <v>0</v>
      </c>
      <c r="BD63" s="59">
        <v>0</v>
      </c>
      <c r="BE63" s="57">
        <v>360</v>
      </c>
      <c r="BF63" s="58">
        <v>155</v>
      </c>
      <c r="BG63" s="58">
        <v>260</v>
      </c>
      <c r="BH63" s="68">
        <v>2</v>
      </c>
      <c r="BI63" s="68">
        <v>2</v>
      </c>
      <c r="BJ63" s="68">
        <v>0</v>
      </c>
      <c r="BK63" s="58">
        <v>4</v>
      </c>
      <c r="BL63" s="58">
        <v>0</v>
      </c>
      <c r="BM63" s="59">
        <v>0</v>
      </c>
    </row>
    <row r="64" spans="1:65" ht="15" thickBot="1" x14ac:dyDescent="0.35">
      <c r="A64" s="85">
        <v>7</v>
      </c>
      <c r="B64" s="81">
        <v>14007840</v>
      </c>
      <c r="C64" s="77" t="str">
        <v>END CAP LH ASSY</v>
      </c>
      <c r="D64" s="64">
        <v>130</v>
      </c>
      <c r="E64" s="64">
        <v>50</v>
      </c>
      <c r="F64" s="64">
        <v>385</v>
      </c>
      <c r="G64" s="64">
        <v>192</v>
      </c>
      <c r="H64" s="64">
        <v>1</v>
      </c>
      <c r="I64" s="64">
        <v>192</v>
      </c>
      <c r="J64" s="64">
        <v>18</v>
      </c>
      <c r="K64" s="78" t="str">
        <v>Crate (400 x 300 x 220) mm</v>
      </c>
      <c r="L64" s="63">
        <v>360</v>
      </c>
      <c r="M64" s="64">
        <v>260</v>
      </c>
      <c r="N64" s="64">
        <v>205</v>
      </c>
      <c r="O64" s="79">
        <v>2</v>
      </c>
      <c r="P64" s="79">
        <v>4</v>
      </c>
      <c r="Q64" s="79">
        <v>0</v>
      </c>
      <c r="R64" s="64">
        <v>8</v>
      </c>
      <c r="S64" s="64">
        <v>0</v>
      </c>
      <c r="T64" s="65">
        <v>0</v>
      </c>
      <c r="U64" s="63">
        <v>260</v>
      </c>
      <c r="V64" s="64">
        <v>360</v>
      </c>
      <c r="W64" s="64">
        <v>205</v>
      </c>
      <c r="X64" s="79">
        <v>1</v>
      </c>
      <c r="Y64" s="79">
        <v>6</v>
      </c>
      <c r="Z64" s="79">
        <v>0</v>
      </c>
      <c r="AA64" s="64">
        <v>6</v>
      </c>
      <c r="AB64" s="64">
        <v>0</v>
      </c>
      <c r="AC64" s="65">
        <v>0</v>
      </c>
      <c r="AD64" s="63">
        <v>205</v>
      </c>
      <c r="AE64" s="64">
        <v>360</v>
      </c>
      <c r="AF64" s="64">
        <v>260</v>
      </c>
      <c r="AG64" s="79">
        <v>1</v>
      </c>
      <c r="AH64" s="79">
        <v>6</v>
      </c>
      <c r="AI64" s="79">
        <v>0</v>
      </c>
      <c r="AJ64" s="64">
        <v>6</v>
      </c>
      <c r="AK64" s="64">
        <v>0</v>
      </c>
      <c r="AL64" s="65">
        <v>0</v>
      </c>
      <c r="AM64" s="63">
        <v>205</v>
      </c>
      <c r="AN64" s="64">
        <v>260</v>
      </c>
      <c r="AO64" s="64">
        <v>360</v>
      </c>
      <c r="AP64" s="79">
        <v>1</v>
      </c>
      <c r="AQ64" s="79">
        <v>4</v>
      </c>
      <c r="AR64" s="79">
        <v>0</v>
      </c>
      <c r="AS64" s="64">
        <v>4</v>
      </c>
      <c r="AT64" s="64">
        <v>0</v>
      </c>
      <c r="AU64" s="65">
        <v>0</v>
      </c>
      <c r="AV64" s="63">
        <v>260</v>
      </c>
      <c r="AW64" s="64">
        <v>205</v>
      </c>
      <c r="AX64" s="64">
        <v>360</v>
      </c>
      <c r="AY64" s="79">
        <v>1</v>
      </c>
      <c r="AZ64" s="79">
        <v>3</v>
      </c>
      <c r="BA64" s="79">
        <v>0</v>
      </c>
      <c r="BB64" s="64">
        <v>3</v>
      </c>
      <c r="BC64" s="64">
        <v>0</v>
      </c>
      <c r="BD64" s="65">
        <v>0</v>
      </c>
      <c r="BE64" s="63">
        <v>360</v>
      </c>
      <c r="BF64" s="64">
        <v>205</v>
      </c>
      <c r="BG64" s="64">
        <v>260</v>
      </c>
      <c r="BH64" s="79">
        <v>2</v>
      </c>
      <c r="BI64" s="79">
        <v>3</v>
      </c>
      <c r="BJ64" s="79">
        <v>0</v>
      </c>
      <c r="BK64" s="64">
        <v>6</v>
      </c>
      <c r="BL64" s="64">
        <v>0</v>
      </c>
      <c r="BM64" s="65">
        <v>0</v>
      </c>
    </row>
    <row r="65" spans="1:65" x14ac:dyDescent="0.3">
      <c r="A65" s="82">
        <v>8</v>
      </c>
      <c r="B65" s="80">
        <v>14007841</v>
      </c>
      <c r="C65" s="74" t="str">
        <v>END CAP RH ASSY</v>
      </c>
      <c r="D65" s="55">
        <v>130</v>
      </c>
      <c r="E65" s="55">
        <v>50</v>
      </c>
      <c r="F65" s="55">
        <v>385</v>
      </c>
      <c r="G65" s="55">
        <v>192</v>
      </c>
      <c r="H65" s="55">
        <v>1</v>
      </c>
      <c r="I65" s="55">
        <v>192</v>
      </c>
      <c r="J65" s="55">
        <v>18</v>
      </c>
      <c r="K65" s="75" t="str">
        <v>FLC ( 1200 x 1000 x 800) mm</v>
      </c>
      <c r="L65" s="54">
        <v>1120</v>
      </c>
      <c r="M65" s="55">
        <v>920</v>
      </c>
      <c r="N65" s="55">
        <v>640</v>
      </c>
      <c r="O65" s="76">
        <v>8</v>
      </c>
      <c r="P65" s="76">
        <v>16</v>
      </c>
      <c r="Q65" s="76">
        <v>1</v>
      </c>
      <c r="R65" s="55">
        <v>128</v>
      </c>
      <c r="S65" s="55">
        <v>1</v>
      </c>
      <c r="T65" s="56">
        <v>128</v>
      </c>
      <c r="U65" s="54">
        <v>920</v>
      </c>
      <c r="V65" s="55">
        <v>1120</v>
      </c>
      <c r="W65" s="55">
        <v>640</v>
      </c>
      <c r="X65" s="76">
        <v>6</v>
      </c>
      <c r="Y65" s="76">
        <v>20</v>
      </c>
      <c r="Z65" s="76">
        <v>1</v>
      </c>
      <c r="AA65" s="55">
        <v>120</v>
      </c>
      <c r="AB65" s="55">
        <v>1</v>
      </c>
      <c r="AC65" s="56">
        <v>120</v>
      </c>
      <c r="AD65" s="54">
        <v>640</v>
      </c>
      <c r="AE65" s="55">
        <v>1120</v>
      </c>
      <c r="AF65" s="55">
        <v>920</v>
      </c>
      <c r="AG65" s="76">
        <v>4</v>
      </c>
      <c r="AH65" s="76">
        <v>20</v>
      </c>
      <c r="AI65" s="76">
        <v>2</v>
      </c>
      <c r="AJ65" s="55">
        <v>80</v>
      </c>
      <c r="AK65" s="55">
        <v>2</v>
      </c>
      <c r="AL65" s="56">
        <v>160</v>
      </c>
      <c r="AM65" s="54">
        <v>640</v>
      </c>
      <c r="AN65" s="55">
        <v>920</v>
      </c>
      <c r="AO65" s="55">
        <v>1120</v>
      </c>
      <c r="AP65" s="76">
        <v>4</v>
      </c>
      <c r="AQ65" s="76">
        <v>16</v>
      </c>
      <c r="AR65" s="76">
        <v>2</v>
      </c>
      <c r="AS65" s="55">
        <v>64</v>
      </c>
      <c r="AT65" s="55">
        <v>2</v>
      </c>
      <c r="AU65" s="56">
        <v>128</v>
      </c>
      <c r="AV65" s="54">
        <v>920</v>
      </c>
      <c r="AW65" s="55">
        <v>640</v>
      </c>
      <c r="AX65" s="55">
        <v>1120</v>
      </c>
      <c r="AY65" s="76">
        <v>6</v>
      </c>
      <c r="AZ65" s="76">
        <v>11</v>
      </c>
      <c r="BA65" s="76">
        <v>2</v>
      </c>
      <c r="BB65" s="55">
        <v>66</v>
      </c>
      <c r="BC65" s="55">
        <v>2</v>
      </c>
      <c r="BD65" s="56">
        <v>132</v>
      </c>
      <c r="BE65" s="54">
        <v>1120</v>
      </c>
      <c r="BF65" s="55">
        <v>640</v>
      </c>
      <c r="BG65" s="55">
        <v>920</v>
      </c>
      <c r="BH65" s="76">
        <v>8</v>
      </c>
      <c r="BI65" s="76">
        <v>11</v>
      </c>
      <c r="BJ65" s="76">
        <v>2</v>
      </c>
      <c r="BK65" s="55">
        <v>88</v>
      </c>
      <c r="BL65" s="55">
        <v>2</v>
      </c>
      <c r="BM65" s="56">
        <v>176</v>
      </c>
    </row>
    <row r="66" spans="1:65" x14ac:dyDescent="0.3">
      <c r="A66" s="83">
        <v>8</v>
      </c>
      <c r="B66" s="70">
        <v>14007841</v>
      </c>
      <c r="C66" s="66" t="str">
        <v>END CAP RH ASSY</v>
      </c>
      <c r="D66" s="58">
        <v>130</v>
      </c>
      <c r="E66" s="58">
        <v>50</v>
      </c>
      <c r="F66" s="58">
        <v>385</v>
      </c>
      <c r="G66" s="58">
        <v>192</v>
      </c>
      <c r="H66" s="58">
        <v>1</v>
      </c>
      <c r="I66" s="58">
        <v>192</v>
      </c>
      <c r="J66" s="58">
        <v>18</v>
      </c>
      <c r="K66" s="72" t="str">
        <v>FLC ( 1200 x 800 x 975) mm</v>
      </c>
      <c r="L66" s="57">
        <v>1155</v>
      </c>
      <c r="M66" s="58">
        <v>755</v>
      </c>
      <c r="N66" s="58">
        <v>780</v>
      </c>
      <c r="O66" s="68">
        <v>8</v>
      </c>
      <c r="P66" s="68">
        <v>13</v>
      </c>
      <c r="Q66" s="68">
        <v>2</v>
      </c>
      <c r="R66" s="58">
        <v>104</v>
      </c>
      <c r="S66" s="58">
        <v>2</v>
      </c>
      <c r="T66" s="59">
        <v>208</v>
      </c>
      <c r="U66" s="57">
        <v>755</v>
      </c>
      <c r="V66" s="58">
        <v>1155</v>
      </c>
      <c r="W66" s="58">
        <v>780</v>
      </c>
      <c r="X66" s="68">
        <v>5</v>
      </c>
      <c r="Y66" s="68">
        <v>21</v>
      </c>
      <c r="Z66" s="68">
        <v>2</v>
      </c>
      <c r="AA66" s="58">
        <v>105</v>
      </c>
      <c r="AB66" s="58">
        <v>2</v>
      </c>
      <c r="AC66" s="59">
        <v>210</v>
      </c>
      <c r="AD66" s="57">
        <v>780</v>
      </c>
      <c r="AE66" s="58">
        <v>1155</v>
      </c>
      <c r="AF66" s="58">
        <v>755</v>
      </c>
      <c r="AG66" s="68">
        <v>5</v>
      </c>
      <c r="AH66" s="68">
        <v>21</v>
      </c>
      <c r="AI66" s="68">
        <v>1</v>
      </c>
      <c r="AJ66" s="58">
        <v>105</v>
      </c>
      <c r="AK66" s="58">
        <v>1</v>
      </c>
      <c r="AL66" s="59">
        <v>105</v>
      </c>
      <c r="AM66" s="57">
        <v>780</v>
      </c>
      <c r="AN66" s="58">
        <v>755</v>
      </c>
      <c r="AO66" s="58">
        <v>1155</v>
      </c>
      <c r="AP66" s="68">
        <v>5</v>
      </c>
      <c r="AQ66" s="68">
        <v>13</v>
      </c>
      <c r="AR66" s="68">
        <v>2</v>
      </c>
      <c r="AS66" s="58">
        <v>65</v>
      </c>
      <c r="AT66" s="58">
        <v>2</v>
      </c>
      <c r="AU66" s="59">
        <v>130</v>
      </c>
      <c r="AV66" s="57">
        <v>755</v>
      </c>
      <c r="AW66" s="58">
        <v>780</v>
      </c>
      <c r="AX66" s="58">
        <v>1155</v>
      </c>
      <c r="AY66" s="68">
        <v>5</v>
      </c>
      <c r="AZ66" s="68">
        <v>14</v>
      </c>
      <c r="BA66" s="68">
        <v>2</v>
      </c>
      <c r="BB66" s="58">
        <v>70</v>
      </c>
      <c r="BC66" s="58">
        <v>2</v>
      </c>
      <c r="BD66" s="59">
        <v>140</v>
      </c>
      <c r="BE66" s="57">
        <v>1155</v>
      </c>
      <c r="BF66" s="58">
        <v>780</v>
      </c>
      <c r="BG66" s="58">
        <v>755</v>
      </c>
      <c r="BH66" s="68">
        <v>8</v>
      </c>
      <c r="BI66" s="68">
        <v>14</v>
      </c>
      <c r="BJ66" s="68">
        <v>1</v>
      </c>
      <c r="BK66" s="58">
        <v>112</v>
      </c>
      <c r="BL66" s="58">
        <v>1</v>
      </c>
      <c r="BM66" s="59">
        <v>112</v>
      </c>
    </row>
    <row r="67" spans="1:65" x14ac:dyDescent="0.3">
      <c r="A67" s="83">
        <v>8</v>
      </c>
      <c r="B67" s="70">
        <v>14007841</v>
      </c>
      <c r="C67" s="66" t="str">
        <v>END CAP RH ASSY</v>
      </c>
      <c r="D67" s="58">
        <v>130</v>
      </c>
      <c r="E67" s="58">
        <v>50</v>
      </c>
      <c r="F67" s="58">
        <v>385</v>
      </c>
      <c r="G67" s="58">
        <v>192</v>
      </c>
      <c r="H67" s="58">
        <v>1</v>
      </c>
      <c r="I67" s="58">
        <v>192</v>
      </c>
      <c r="J67" s="58">
        <v>18</v>
      </c>
      <c r="K67" s="72" t="str">
        <v>FCS (810 x 760 x 860)mm</v>
      </c>
      <c r="L67" s="57">
        <v>780</v>
      </c>
      <c r="M67" s="58">
        <v>730</v>
      </c>
      <c r="N67" s="58">
        <v>720</v>
      </c>
      <c r="O67" s="68">
        <v>5</v>
      </c>
      <c r="P67" s="68">
        <v>13</v>
      </c>
      <c r="Q67" s="68">
        <v>1</v>
      </c>
      <c r="R67" s="58">
        <v>65</v>
      </c>
      <c r="S67" s="58">
        <v>1</v>
      </c>
      <c r="T67" s="59">
        <v>65</v>
      </c>
      <c r="U67" s="57">
        <v>730</v>
      </c>
      <c r="V67" s="58">
        <v>780</v>
      </c>
      <c r="W67" s="58">
        <v>720</v>
      </c>
      <c r="X67" s="68">
        <v>5</v>
      </c>
      <c r="Y67" s="68">
        <v>14</v>
      </c>
      <c r="Z67" s="68">
        <v>1</v>
      </c>
      <c r="AA67" s="58">
        <v>70</v>
      </c>
      <c r="AB67" s="58">
        <v>1</v>
      </c>
      <c r="AC67" s="59">
        <v>70</v>
      </c>
      <c r="AD67" s="57">
        <v>720</v>
      </c>
      <c r="AE67" s="58">
        <v>780</v>
      </c>
      <c r="AF67" s="58">
        <v>730</v>
      </c>
      <c r="AG67" s="68">
        <v>5</v>
      </c>
      <c r="AH67" s="68">
        <v>14</v>
      </c>
      <c r="AI67" s="68">
        <v>1</v>
      </c>
      <c r="AJ67" s="58">
        <v>70</v>
      </c>
      <c r="AK67" s="58">
        <v>1</v>
      </c>
      <c r="AL67" s="59">
        <v>70</v>
      </c>
      <c r="AM67" s="57">
        <v>720</v>
      </c>
      <c r="AN67" s="58">
        <v>730</v>
      </c>
      <c r="AO67" s="58">
        <v>780</v>
      </c>
      <c r="AP67" s="68">
        <v>5</v>
      </c>
      <c r="AQ67" s="68">
        <v>13</v>
      </c>
      <c r="AR67" s="68">
        <v>2</v>
      </c>
      <c r="AS67" s="58">
        <v>65</v>
      </c>
      <c r="AT67" s="58">
        <v>2</v>
      </c>
      <c r="AU67" s="59">
        <v>130</v>
      </c>
      <c r="AV67" s="57">
        <v>730</v>
      </c>
      <c r="AW67" s="58">
        <v>720</v>
      </c>
      <c r="AX67" s="58">
        <v>780</v>
      </c>
      <c r="AY67" s="68">
        <v>5</v>
      </c>
      <c r="AZ67" s="68">
        <v>13</v>
      </c>
      <c r="BA67" s="68">
        <v>2</v>
      </c>
      <c r="BB67" s="58">
        <v>65</v>
      </c>
      <c r="BC67" s="58">
        <v>2</v>
      </c>
      <c r="BD67" s="59">
        <v>130</v>
      </c>
      <c r="BE67" s="57">
        <v>780</v>
      </c>
      <c r="BF67" s="58">
        <v>720</v>
      </c>
      <c r="BG67" s="58">
        <v>730</v>
      </c>
      <c r="BH67" s="68">
        <v>5</v>
      </c>
      <c r="BI67" s="68">
        <v>13</v>
      </c>
      <c r="BJ67" s="68">
        <v>1</v>
      </c>
      <c r="BK67" s="58">
        <v>65</v>
      </c>
      <c r="BL67" s="58">
        <v>1</v>
      </c>
      <c r="BM67" s="59">
        <v>65</v>
      </c>
    </row>
    <row r="68" spans="1:65" x14ac:dyDescent="0.3">
      <c r="A68" s="83">
        <v>8</v>
      </c>
      <c r="B68" s="70">
        <v>14007841</v>
      </c>
      <c r="C68" s="66" t="str">
        <v>END CAP RH ASSY</v>
      </c>
      <c r="D68" s="58">
        <v>130</v>
      </c>
      <c r="E68" s="58">
        <v>50</v>
      </c>
      <c r="F68" s="58">
        <v>385</v>
      </c>
      <c r="G68" s="58">
        <v>192</v>
      </c>
      <c r="H68" s="58">
        <v>1</v>
      </c>
      <c r="I68" s="58">
        <v>192</v>
      </c>
      <c r="J68" s="58">
        <v>18</v>
      </c>
      <c r="K68" s="72" t="str">
        <v>Crate (600 x 400 x 120) mm</v>
      </c>
      <c r="L68" s="57">
        <v>560</v>
      </c>
      <c r="M68" s="58">
        <v>360</v>
      </c>
      <c r="N68" s="58">
        <v>105</v>
      </c>
      <c r="O68" s="68">
        <v>4</v>
      </c>
      <c r="P68" s="68">
        <v>6</v>
      </c>
      <c r="Q68" s="68">
        <v>0</v>
      </c>
      <c r="R68" s="58">
        <v>24</v>
      </c>
      <c r="S68" s="58">
        <v>0</v>
      </c>
      <c r="T68" s="59">
        <v>0</v>
      </c>
      <c r="U68" s="57">
        <v>360</v>
      </c>
      <c r="V68" s="58">
        <v>560</v>
      </c>
      <c r="W68" s="58">
        <v>105</v>
      </c>
      <c r="X68" s="68">
        <v>2</v>
      </c>
      <c r="Y68" s="68">
        <v>10</v>
      </c>
      <c r="Z68" s="68">
        <v>0</v>
      </c>
      <c r="AA68" s="58">
        <v>20</v>
      </c>
      <c r="AB68" s="58">
        <v>0</v>
      </c>
      <c r="AC68" s="59">
        <v>0</v>
      </c>
      <c r="AD68" s="57">
        <v>105</v>
      </c>
      <c r="AE68" s="58">
        <v>560</v>
      </c>
      <c r="AF68" s="58">
        <v>360</v>
      </c>
      <c r="AG68" s="68">
        <v>0</v>
      </c>
      <c r="AH68" s="68">
        <v>10</v>
      </c>
      <c r="AI68" s="68">
        <v>0</v>
      </c>
      <c r="AJ68" s="58">
        <v>0</v>
      </c>
      <c r="AK68" s="58">
        <v>0</v>
      </c>
      <c r="AL68" s="59">
        <v>0</v>
      </c>
      <c r="AM68" s="57">
        <v>105</v>
      </c>
      <c r="AN68" s="58">
        <v>360</v>
      </c>
      <c r="AO68" s="58">
        <v>560</v>
      </c>
      <c r="AP68" s="68">
        <v>0</v>
      </c>
      <c r="AQ68" s="68">
        <v>6</v>
      </c>
      <c r="AR68" s="68">
        <v>1</v>
      </c>
      <c r="AS68" s="58">
        <v>0</v>
      </c>
      <c r="AT68" s="58">
        <v>1</v>
      </c>
      <c r="AU68" s="59">
        <v>0</v>
      </c>
      <c r="AV68" s="57">
        <v>360</v>
      </c>
      <c r="AW68" s="58">
        <v>105</v>
      </c>
      <c r="AX68" s="58">
        <v>560</v>
      </c>
      <c r="AY68" s="68">
        <v>2</v>
      </c>
      <c r="AZ68" s="68">
        <v>1</v>
      </c>
      <c r="BA68" s="68">
        <v>1</v>
      </c>
      <c r="BB68" s="58">
        <v>2</v>
      </c>
      <c r="BC68" s="58">
        <v>1</v>
      </c>
      <c r="BD68" s="59">
        <v>2</v>
      </c>
      <c r="BE68" s="57">
        <v>560</v>
      </c>
      <c r="BF68" s="58">
        <v>105</v>
      </c>
      <c r="BG68" s="58">
        <v>360</v>
      </c>
      <c r="BH68" s="68">
        <v>4</v>
      </c>
      <c r="BI68" s="68">
        <v>1</v>
      </c>
      <c r="BJ68" s="68">
        <v>0</v>
      </c>
      <c r="BK68" s="58">
        <v>4</v>
      </c>
      <c r="BL68" s="58">
        <v>0</v>
      </c>
      <c r="BM68" s="59">
        <v>0</v>
      </c>
    </row>
    <row r="69" spans="1:65" x14ac:dyDescent="0.3">
      <c r="A69" s="83">
        <v>8</v>
      </c>
      <c r="B69" s="70">
        <v>14007841</v>
      </c>
      <c r="C69" s="66" t="str">
        <v>END CAP RH ASSY</v>
      </c>
      <c r="D69" s="58">
        <v>130</v>
      </c>
      <c r="E69" s="58">
        <v>50</v>
      </c>
      <c r="F69" s="58">
        <v>385</v>
      </c>
      <c r="G69" s="58">
        <v>192</v>
      </c>
      <c r="H69" s="58">
        <v>1</v>
      </c>
      <c r="I69" s="58">
        <v>192</v>
      </c>
      <c r="J69" s="58">
        <v>18</v>
      </c>
      <c r="K69" s="72" t="str">
        <v>Crate (600 x 400 x 170) mm</v>
      </c>
      <c r="L69" s="57">
        <v>560</v>
      </c>
      <c r="M69" s="58">
        <v>360</v>
      </c>
      <c r="N69" s="58">
        <v>155</v>
      </c>
      <c r="O69" s="68">
        <v>4</v>
      </c>
      <c r="P69" s="68">
        <v>6</v>
      </c>
      <c r="Q69" s="68">
        <v>0</v>
      </c>
      <c r="R69" s="58">
        <v>24</v>
      </c>
      <c r="S69" s="58">
        <v>0</v>
      </c>
      <c r="T69" s="59">
        <v>0</v>
      </c>
      <c r="U69" s="57">
        <v>360</v>
      </c>
      <c r="V69" s="58">
        <v>560</v>
      </c>
      <c r="W69" s="58">
        <v>155</v>
      </c>
      <c r="X69" s="68">
        <v>2</v>
      </c>
      <c r="Y69" s="68">
        <v>10</v>
      </c>
      <c r="Z69" s="68">
        <v>0</v>
      </c>
      <c r="AA69" s="58">
        <v>20</v>
      </c>
      <c r="AB69" s="58">
        <v>0</v>
      </c>
      <c r="AC69" s="59">
        <v>0</v>
      </c>
      <c r="AD69" s="57">
        <v>155</v>
      </c>
      <c r="AE69" s="58">
        <v>560</v>
      </c>
      <c r="AF69" s="58">
        <v>360</v>
      </c>
      <c r="AG69" s="68">
        <v>1</v>
      </c>
      <c r="AH69" s="68">
        <v>10</v>
      </c>
      <c r="AI69" s="68">
        <v>0</v>
      </c>
      <c r="AJ69" s="58">
        <v>10</v>
      </c>
      <c r="AK69" s="58">
        <v>0</v>
      </c>
      <c r="AL69" s="59">
        <v>0</v>
      </c>
      <c r="AM69" s="57">
        <v>155</v>
      </c>
      <c r="AN69" s="58">
        <v>360</v>
      </c>
      <c r="AO69" s="58">
        <v>560</v>
      </c>
      <c r="AP69" s="68">
        <v>1</v>
      </c>
      <c r="AQ69" s="68">
        <v>6</v>
      </c>
      <c r="AR69" s="68">
        <v>1</v>
      </c>
      <c r="AS69" s="58">
        <v>6</v>
      </c>
      <c r="AT69" s="58">
        <v>1</v>
      </c>
      <c r="AU69" s="59">
        <v>6</v>
      </c>
      <c r="AV69" s="57">
        <v>360</v>
      </c>
      <c r="AW69" s="58">
        <v>155</v>
      </c>
      <c r="AX69" s="58">
        <v>560</v>
      </c>
      <c r="AY69" s="68">
        <v>2</v>
      </c>
      <c r="AZ69" s="68">
        <v>2</v>
      </c>
      <c r="BA69" s="68">
        <v>1</v>
      </c>
      <c r="BB69" s="58">
        <v>4</v>
      </c>
      <c r="BC69" s="58">
        <v>1</v>
      </c>
      <c r="BD69" s="59">
        <v>4</v>
      </c>
      <c r="BE69" s="57">
        <v>560</v>
      </c>
      <c r="BF69" s="58">
        <v>155</v>
      </c>
      <c r="BG69" s="58">
        <v>360</v>
      </c>
      <c r="BH69" s="68">
        <v>4</v>
      </c>
      <c r="BI69" s="68">
        <v>2</v>
      </c>
      <c r="BJ69" s="68">
        <v>0</v>
      </c>
      <c r="BK69" s="58">
        <v>8</v>
      </c>
      <c r="BL69" s="58">
        <v>0</v>
      </c>
      <c r="BM69" s="59">
        <v>0</v>
      </c>
    </row>
    <row r="70" spans="1:65" x14ac:dyDescent="0.3">
      <c r="A70" s="83">
        <v>8</v>
      </c>
      <c r="B70" s="70">
        <v>14007841</v>
      </c>
      <c r="C70" s="66" t="str">
        <v>END CAP RH ASSY</v>
      </c>
      <c r="D70" s="58">
        <v>130</v>
      </c>
      <c r="E70" s="58">
        <v>50</v>
      </c>
      <c r="F70" s="58">
        <v>385</v>
      </c>
      <c r="G70" s="58">
        <v>192</v>
      </c>
      <c r="H70" s="58">
        <v>1</v>
      </c>
      <c r="I70" s="58">
        <v>192</v>
      </c>
      <c r="J70" s="58">
        <v>18</v>
      </c>
      <c r="K70" s="72" t="str">
        <v>Crate (600 x 400 x 220) mm</v>
      </c>
      <c r="L70" s="57">
        <v>560</v>
      </c>
      <c r="M70" s="58">
        <v>360</v>
      </c>
      <c r="N70" s="58">
        <v>205</v>
      </c>
      <c r="O70" s="68">
        <v>4</v>
      </c>
      <c r="P70" s="68">
        <v>6</v>
      </c>
      <c r="Q70" s="68">
        <v>0</v>
      </c>
      <c r="R70" s="58">
        <v>24</v>
      </c>
      <c r="S70" s="58">
        <v>0</v>
      </c>
      <c r="T70" s="59">
        <v>0</v>
      </c>
      <c r="U70" s="57">
        <v>360</v>
      </c>
      <c r="V70" s="58">
        <v>560</v>
      </c>
      <c r="W70" s="58">
        <v>205</v>
      </c>
      <c r="X70" s="68">
        <v>2</v>
      </c>
      <c r="Y70" s="68">
        <v>10</v>
      </c>
      <c r="Z70" s="68">
        <v>0</v>
      </c>
      <c r="AA70" s="58">
        <v>20</v>
      </c>
      <c r="AB70" s="58">
        <v>0</v>
      </c>
      <c r="AC70" s="59">
        <v>0</v>
      </c>
      <c r="AD70" s="57">
        <v>205</v>
      </c>
      <c r="AE70" s="58">
        <v>560</v>
      </c>
      <c r="AF70" s="58">
        <v>360</v>
      </c>
      <c r="AG70" s="68">
        <v>1</v>
      </c>
      <c r="AH70" s="68">
        <v>10</v>
      </c>
      <c r="AI70" s="68">
        <v>0</v>
      </c>
      <c r="AJ70" s="58">
        <v>10</v>
      </c>
      <c r="AK70" s="58">
        <v>0</v>
      </c>
      <c r="AL70" s="59">
        <v>0</v>
      </c>
      <c r="AM70" s="57">
        <v>205</v>
      </c>
      <c r="AN70" s="58">
        <v>360</v>
      </c>
      <c r="AO70" s="58">
        <v>560</v>
      </c>
      <c r="AP70" s="68">
        <v>1</v>
      </c>
      <c r="AQ70" s="68">
        <v>6</v>
      </c>
      <c r="AR70" s="68">
        <v>1</v>
      </c>
      <c r="AS70" s="58">
        <v>6</v>
      </c>
      <c r="AT70" s="58">
        <v>1</v>
      </c>
      <c r="AU70" s="59">
        <v>6</v>
      </c>
      <c r="AV70" s="57">
        <v>360</v>
      </c>
      <c r="AW70" s="58">
        <v>205</v>
      </c>
      <c r="AX70" s="58">
        <v>560</v>
      </c>
      <c r="AY70" s="68">
        <v>2</v>
      </c>
      <c r="AZ70" s="68">
        <v>3</v>
      </c>
      <c r="BA70" s="68">
        <v>1</v>
      </c>
      <c r="BB70" s="58">
        <v>6</v>
      </c>
      <c r="BC70" s="58">
        <v>1</v>
      </c>
      <c r="BD70" s="59">
        <v>6</v>
      </c>
      <c r="BE70" s="57">
        <v>560</v>
      </c>
      <c r="BF70" s="58">
        <v>205</v>
      </c>
      <c r="BG70" s="58">
        <v>360</v>
      </c>
      <c r="BH70" s="68">
        <v>4</v>
      </c>
      <c r="BI70" s="68">
        <v>3</v>
      </c>
      <c r="BJ70" s="68">
        <v>0</v>
      </c>
      <c r="BK70" s="58">
        <v>12</v>
      </c>
      <c r="BL70" s="58">
        <v>0</v>
      </c>
      <c r="BM70" s="59">
        <v>0</v>
      </c>
    </row>
    <row r="71" spans="1:65" x14ac:dyDescent="0.3">
      <c r="A71" s="83">
        <v>8</v>
      </c>
      <c r="B71" s="70">
        <v>14007841</v>
      </c>
      <c r="C71" s="66" t="str">
        <v>END CAP RH ASSY</v>
      </c>
      <c r="D71" s="58">
        <v>130</v>
      </c>
      <c r="E71" s="58">
        <v>50</v>
      </c>
      <c r="F71" s="58">
        <v>385</v>
      </c>
      <c r="G71" s="58">
        <v>192</v>
      </c>
      <c r="H71" s="58">
        <v>1</v>
      </c>
      <c r="I71" s="58">
        <v>192</v>
      </c>
      <c r="J71" s="58">
        <v>18</v>
      </c>
      <c r="K71" s="72" t="str">
        <v>Crate (400 x 300 x 120) mm</v>
      </c>
      <c r="L71" s="57">
        <v>360</v>
      </c>
      <c r="M71" s="58">
        <v>260</v>
      </c>
      <c r="N71" s="58">
        <v>105</v>
      </c>
      <c r="O71" s="68">
        <v>2</v>
      </c>
      <c r="P71" s="68">
        <v>4</v>
      </c>
      <c r="Q71" s="68">
        <v>0</v>
      </c>
      <c r="R71" s="58">
        <v>8</v>
      </c>
      <c r="S71" s="58">
        <v>0</v>
      </c>
      <c r="T71" s="59">
        <v>0</v>
      </c>
      <c r="U71" s="57">
        <v>260</v>
      </c>
      <c r="V71" s="58">
        <v>360</v>
      </c>
      <c r="W71" s="58">
        <v>105</v>
      </c>
      <c r="X71" s="68">
        <v>1</v>
      </c>
      <c r="Y71" s="68">
        <v>6</v>
      </c>
      <c r="Z71" s="68">
        <v>0</v>
      </c>
      <c r="AA71" s="58">
        <v>6</v>
      </c>
      <c r="AB71" s="58">
        <v>0</v>
      </c>
      <c r="AC71" s="59">
        <v>0</v>
      </c>
      <c r="AD71" s="57">
        <v>105</v>
      </c>
      <c r="AE71" s="58">
        <v>360</v>
      </c>
      <c r="AF71" s="58">
        <v>260</v>
      </c>
      <c r="AG71" s="68">
        <v>0</v>
      </c>
      <c r="AH71" s="68">
        <v>6</v>
      </c>
      <c r="AI71" s="68">
        <v>0</v>
      </c>
      <c r="AJ71" s="58">
        <v>0</v>
      </c>
      <c r="AK71" s="58">
        <v>0</v>
      </c>
      <c r="AL71" s="59">
        <v>0</v>
      </c>
      <c r="AM71" s="57">
        <v>105</v>
      </c>
      <c r="AN71" s="58">
        <v>260</v>
      </c>
      <c r="AO71" s="58">
        <v>360</v>
      </c>
      <c r="AP71" s="68">
        <v>0</v>
      </c>
      <c r="AQ71" s="68">
        <v>4</v>
      </c>
      <c r="AR71" s="68">
        <v>0</v>
      </c>
      <c r="AS71" s="58">
        <v>0</v>
      </c>
      <c r="AT71" s="58">
        <v>0</v>
      </c>
      <c r="AU71" s="59">
        <v>0</v>
      </c>
      <c r="AV71" s="57">
        <v>260</v>
      </c>
      <c r="AW71" s="58">
        <v>105</v>
      </c>
      <c r="AX71" s="58">
        <v>360</v>
      </c>
      <c r="AY71" s="68">
        <v>1</v>
      </c>
      <c r="AZ71" s="68">
        <v>1</v>
      </c>
      <c r="BA71" s="68">
        <v>0</v>
      </c>
      <c r="BB71" s="58">
        <v>1</v>
      </c>
      <c r="BC71" s="58">
        <v>0</v>
      </c>
      <c r="BD71" s="59">
        <v>0</v>
      </c>
      <c r="BE71" s="57">
        <v>360</v>
      </c>
      <c r="BF71" s="58">
        <v>105</v>
      </c>
      <c r="BG71" s="58">
        <v>260</v>
      </c>
      <c r="BH71" s="68">
        <v>2</v>
      </c>
      <c r="BI71" s="68">
        <v>1</v>
      </c>
      <c r="BJ71" s="68">
        <v>0</v>
      </c>
      <c r="BK71" s="58">
        <v>2</v>
      </c>
      <c r="BL71" s="58">
        <v>0</v>
      </c>
      <c r="BM71" s="59">
        <v>0</v>
      </c>
    </row>
    <row r="72" spans="1:65" x14ac:dyDescent="0.3">
      <c r="A72" s="83">
        <v>8</v>
      </c>
      <c r="B72" s="70">
        <v>14007841</v>
      </c>
      <c r="C72" s="66" t="str">
        <v>END CAP RH ASSY</v>
      </c>
      <c r="D72" s="58">
        <v>130</v>
      </c>
      <c r="E72" s="58">
        <v>50</v>
      </c>
      <c r="F72" s="58">
        <v>385</v>
      </c>
      <c r="G72" s="58">
        <v>192</v>
      </c>
      <c r="H72" s="58">
        <v>1</v>
      </c>
      <c r="I72" s="58">
        <v>192</v>
      </c>
      <c r="J72" s="58">
        <v>18</v>
      </c>
      <c r="K72" s="72" t="str">
        <v>Crate (400 x 300 x 170) mm</v>
      </c>
      <c r="L72" s="57">
        <v>360</v>
      </c>
      <c r="M72" s="58">
        <v>260</v>
      </c>
      <c r="N72" s="58">
        <v>155</v>
      </c>
      <c r="O72" s="68">
        <v>2</v>
      </c>
      <c r="P72" s="68">
        <v>4</v>
      </c>
      <c r="Q72" s="68">
        <v>0</v>
      </c>
      <c r="R72" s="58">
        <v>8</v>
      </c>
      <c r="S72" s="58">
        <v>0</v>
      </c>
      <c r="T72" s="59">
        <v>0</v>
      </c>
      <c r="U72" s="57">
        <v>260</v>
      </c>
      <c r="V72" s="58">
        <v>360</v>
      </c>
      <c r="W72" s="58">
        <v>155</v>
      </c>
      <c r="X72" s="68">
        <v>1</v>
      </c>
      <c r="Y72" s="68">
        <v>6</v>
      </c>
      <c r="Z72" s="68">
        <v>0</v>
      </c>
      <c r="AA72" s="58">
        <v>6</v>
      </c>
      <c r="AB72" s="58">
        <v>0</v>
      </c>
      <c r="AC72" s="59">
        <v>0</v>
      </c>
      <c r="AD72" s="57">
        <v>155</v>
      </c>
      <c r="AE72" s="58">
        <v>360</v>
      </c>
      <c r="AF72" s="58">
        <v>260</v>
      </c>
      <c r="AG72" s="68">
        <v>1</v>
      </c>
      <c r="AH72" s="68">
        <v>6</v>
      </c>
      <c r="AI72" s="68">
        <v>0</v>
      </c>
      <c r="AJ72" s="58">
        <v>6</v>
      </c>
      <c r="AK72" s="58">
        <v>0</v>
      </c>
      <c r="AL72" s="59">
        <v>0</v>
      </c>
      <c r="AM72" s="57">
        <v>155</v>
      </c>
      <c r="AN72" s="58">
        <v>260</v>
      </c>
      <c r="AO72" s="58">
        <v>360</v>
      </c>
      <c r="AP72" s="68">
        <v>1</v>
      </c>
      <c r="AQ72" s="68">
        <v>4</v>
      </c>
      <c r="AR72" s="68">
        <v>0</v>
      </c>
      <c r="AS72" s="58">
        <v>4</v>
      </c>
      <c r="AT72" s="58">
        <v>0</v>
      </c>
      <c r="AU72" s="59">
        <v>0</v>
      </c>
      <c r="AV72" s="57">
        <v>260</v>
      </c>
      <c r="AW72" s="58">
        <v>155</v>
      </c>
      <c r="AX72" s="58">
        <v>360</v>
      </c>
      <c r="AY72" s="68">
        <v>1</v>
      </c>
      <c r="AZ72" s="68">
        <v>2</v>
      </c>
      <c r="BA72" s="68">
        <v>0</v>
      </c>
      <c r="BB72" s="58">
        <v>2</v>
      </c>
      <c r="BC72" s="58">
        <v>0</v>
      </c>
      <c r="BD72" s="59">
        <v>0</v>
      </c>
      <c r="BE72" s="57">
        <v>360</v>
      </c>
      <c r="BF72" s="58">
        <v>155</v>
      </c>
      <c r="BG72" s="58">
        <v>260</v>
      </c>
      <c r="BH72" s="68">
        <v>2</v>
      </c>
      <c r="BI72" s="68">
        <v>2</v>
      </c>
      <c r="BJ72" s="68">
        <v>0</v>
      </c>
      <c r="BK72" s="58">
        <v>4</v>
      </c>
      <c r="BL72" s="58">
        <v>0</v>
      </c>
      <c r="BM72" s="59">
        <v>0</v>
      </c>
    </row>
    <row r="73" spans="1:65" ht="15" thickBot="1" x14ac:dyDescent="0.35">
      <c r="A73" s="85">
        <v>8</v>
      </c>
      <c r="B73" s="81">
        <v>14007841</v>
      </c>
      <c r="C73" s="77" t="str">
        <v>END CAP RH ASSY</v>
      </c>
      <c r="D73" s="64">
        <v>130</v>
      </c>
      <c r="E73" s="64">
        <v>50</v>
      </c>
      <c r="F73" s="64">
        <v>385</v>
      </c>
      <c r="G73" s="64">
        <v>192</v>
      </c>
      <c r="H73" s="64">
        <v>1</v>
      </c>
      <c r="I73" s="64">
        <v>192</v>
      </c>
      <c r="J73" s="64">
        <v>18</v>
      </c>
      <c r="K73" s="78" t="str">
        <v>Crate (400 x 300 x 220) mm</v>
      </c>
      <c r="L73" s="63">
        <v>360</v>
      </c>
      <c r="M73" s="64">
        <v>260</v>
      </c>
      <c r="N73" s="64">
        <v>205</v>
      </c>
      <c r="O73" s="79">
        <v>2</v>
      </c>
      <c r="P73" s="79">
        <v>4</v>
      </c>
      <c r="Q73" s="79">
        <v>0</v>
      </c>
      <c r="R73" s="64">
        <v>8</v>
      </c>
      <c r="S73" s="64">
        <v>0</v>
      </c>
      <c r="T73" s="65">
        <v>0</v>
      </c>
      <c r="U73" s="63">
        <v>260</v>
      </c>
      <c r="V73" s="64">
        <v>360</v>
      </c>
      <c r="W73" s="64">
        <v>205</v>
      </c>
      <c r="X73" s="79">
        <v>1</v>
      </c>
      <c r="Y73" s="79">
        <v>6</v>
      </c>
      <c r="Z73" s="79">
        <v>0</v>
      </c>
      <c r="AA73" s="64">
        <v>6</v>
      </c>
      <c r="AB73" s="64">
        <v>0</v>
      </c>
      <c r="AC73" s="65">
        <v>0</v>
      </c>
      <c r="AD73" s="63">
        <v>205</v>
      </c>
      <c r="AE73" s="64">
        <v>360</v>
      </c>
      <c r="AF73" s="64">
        <v>260</v>
      </c>
      <c r="AG73" s="79">
        <v>1</v>
      </c>
      <c r="AH73" s="79">
        <v>6</v>
      </c>
      <c r="AI73" s="79">
        <v>0</v>
      </c>
      <c r="AJ73" s="64">
        <v>6</v>
      </c>
      <c r="AK73" s="64">
        <v>0</v>
      </c>
      <c r="AL73" s="65">
        <v>0</v>
      </c>
      <c r="AM73" s="63">
        <v>205</v>
      </c>
      <c r="AN73" s="64">
        <v>260</v>
      </c>
      <c r="AO73" s="64">
        <v>360</v>
      </c>
      <c r="AP73" s="79">
        <v>1</v>
      </c>
      <c r="AQ73" s="79">
        <v>4</v>
      </c>
      <c r="AR73" s="79">
        <v>0</v>
      </c>
      <c r="AS73" s="64">
        <v>4</v>
      </c>
      <c r="AT73" s="64">
        <v>0</v>
      </c>
      <c r="AU73" s="65">
        <v>0</v>
      </c>
      <c r="AV73" s="63">
        <v>260</v>
      </c>
      <c r="AW73" s="64">
        <v>205</v>
      </c>
      <c r="AX73" s="64">
        <v>360</v>
      </c>
      <c r="AY73" s="79">
        <v>1</v>
      </c>
      <c r="AZ73" s="79">
        <v>3</v>
      </c>
      <c r="BA73" s="79">
        <v>0</v>
      </c>
      <c r="BB73" s="64">
        <v>3</v>
      </c>
      <c r="BC73" s="64">
        <v>0</v>
      </c>
      <c r="BD73" s="65">
        <v>0</v>
      </c>
      <c r="BE73" s="63">
        <v>360</v>
      </c>
      <c r="BF73" s="64">
        <v>205</v>
      </c>
      <c r="BG73" s="64">
        <v>260</v>
      </c>
      <c r="BH73" s="79">
        <v>2</v>
      </c>
      <c r="BI73" s="79">
        <v>3</v>
      </c>
      <c r="BJ73" s="79">
        <v>0</v>
      </c>
      <c r="BK73" s="64">
        <v>6</v>
      </c>
      <c r="BL73" s="64">
        <v>0</v>
      </c>
      <c r="BM73" s="65">
        <v>0</v>
      </c>
    </row>
    <row r="74" spans="1:65" x14ac:dyDescent="0.3">
      <c r="A74" s="82">
        <v>9</v>
      </c>
      <c r="B74" s="80">
        <v>14007842</v>
      </c>
      <c r="C74" s="74" t="str">
        <v>DRIVER SIDE KNEE COVER RHD ASSY</v>
      </c>
      <c r="D74" s="55">
        <v>170</v>
      </c>
      <c r="E74" s="55">
        <v>70</v>
      </c>
      <c r="F74" s="55">
        <v>265</v>
      </c>
      <c r="G74" s="55">
        <v>80</v>
      </c>
      <c r="H74" s="55">
        <v>1</v>
      </c>
      <c r="I74" s="55">
        <v>80</v>
      </c>
      <c r="J74" s="55">
        <v>40</v>
      </c>
      <c r="K74" s="75" t="str">
        <v>FLC ( 1200 x 1000 x 800) mm</v>
      </c>
      <c r="L74" s="54">
        <v>1120</v>
      </c>
      <c r="M74" s="55">
        <v>920</v>
      </c>
      <c r="N74" s="55">
        <v>640</v>
      </c>
      <c r="O74" s="76">
        <v>6</v>
      </c>
      <c r="P74" s="76">
        <v>12</v>
      </c>
      <c r="Q74" s="76">
        <v>2</v>
      </c>
      <c r="R74" s="55">
        <v>72</v>
      </c>
      <c r="S74" s="55">
        <v>2</v>
      </c>
      <c r="T74" s="56">
        <v>144</v>
      </c>
      <c r="U74" s="54">
        <v>920</v>
      </c>
      <c r="V74" s="55">
        <v>1120</v>
      </c>
      <c r="W74" s="55">
        <v>640</v>
      </c>
      <c r="X74" s="76">
        <v>5</v>
      </c>
      <c r="Y74" s="76">
        <v>14</v>
      </c>
      <c r="Z74" s="76">
        <v>2</v>
      </c>
      <c r="AA74" s="55">
        <v>70</v>
      </c>
      <c r="AB74" s="55">
        <v>2</v>
      </c>
      <c r="AC74" s="56">
        <v>140</v>
      </c>
      <c r="AD74" s="54">
        <v>640</v>
      </c>
      <c r="AE74" s="55">
        <v>1120</v>
      </c>
      <c r="AF74" s="55">
        <v>920</v>
      </c>
      <c r="AG74" s="76">
        <v>3</v>
      </c>
      <c r="AH74" s="76">
        <v>14</v>
      </c>
      <c r="AI74" s="76">
        <v>3</v>
      </c>
      <c r="AJ74" s="55">
        <v>42</v>
      </c>
      <c r="AK74" s="55">
        <v>3</v>
      </c>
      <c r="AL74" s="56">
        <v>126</v>
      </c>
      <c r="AM74" s="54">
        <v>640</v>
      </c>
      <c r="AN74" s="55">
        <v>920</v>
      </c>
      <c r="AO74" s="55">
        <v>1120</v>
      </c>
      <c r="AP74" s="76">
        <v>3</v>
      </c>
      <c r="AQ74" s="76">
        <v>12</v>
      </c>
      <c r="AR74" s="76">
        <v>4</v>
      </c>
      <c r="AS74" s="55">
        <v>36</v>
      </c>
      <c r="AT74" s="55">
        <v>4</v>
      </c>
      <c r="AU74" s="56">
        <v>144</v>
      </c>
      <c r="AV74" s="54">
        <v>920</v>
      </c>
      <c r="AW74" s="55">
        <v>640</v>
      </c>
      <c r="AX74" s="55">
        <v>1120</v>
      </c>
      <c r="AY74" s="76">
        <v>5</v>
      </c>
      <c r="AZ74" s="76">
        <v>8</v>
      </c>
      <c r="BA74" s="76">
        <v>4</v>
      </c>
      <c r="BB74" s="55">
        <v>40</v>
      </c>
      <c r="BC74" s="55">
        <v>4</v>
      </c>
      <c r="BD74" s="56">
        <v>160</v>
      </c>
      <c r="BE74" s="54">
        <v>1120</v>
      </c>
      <c r="BF74" s="55">
        <v>640</v>
      </c>
      <c r="BG74" s="55">
        <v>920</v>
      </c>
      <c r="BH74" s="76">
        <v>6</v>
      </c>
      <c r="BI74" s="76">
        <v>8</v>
      </c>
      <c r="BJ74" s="76">
        <v>3</v>
      </c>
      <c r="BK74" s="55">
        <v>48</v>
      </c>
      <c r="BL74" s="55">
        <v>3</v>
      </c>
      <c r="BM74" s="56">
        <v>144</v>
      </c>
    </row>
    <row r="75" spans="1:65" x14ac:dyDescent="0.3">
      <c r="A75" s="83">
        <v>9</v>
      </c>
      <c r="B75" s="70">
        <v>14007842</v>
      </c>
      <c r="C75" s="66" t="str">
        <v>DRIVER SIDE KNEE COVER RHD ASSY</v>
      </c>
      <c r="D75" s="58">
        <v>170</v>
      </c>
      <c r="E75" s="58">
        <v>70</v>
      </c>
      <c r="F75" s="58">
        <v>265</v>
      </c>
      <c r="G75" s="58">
        <v>80</v>
      </c>
      <c r="H75" s="58">
        <v>1</v>
      </c>
      <c r="I75" s="58">
        <v>80</v>
      </c>
      <c r="J75" s="58">
        <v>40</v>
      </c>
      <c r="K75" s="72" t="str">
        <v>FLC ( 1200 x 800 x 975) mm</v>
      </c>
      <c r="L75" s="57">
        <v>1155</v>
      </c>
      <c r="M75" s="58">
        <v>755</v>
      </c>
      <c r="N75" s="58">
        <v>780</v>
      </c>
      <c r="O75" s="68">
        <v>6</v>
      </c>
      <c r="P75" s="68">
        <v>10</v>
      </c>
      <c r="Q75" s="68">
        <v>2</v>
      </c>
      <c r="R75" s="58">
        <v>60</v>
      </c>
      <c r="S75" s="58">
        <v>2</v>
      </c>
      <c r="T75" s="59">
        <v>120</v>
      </c>
      <c r="U75" s="57">
        <v>755</v>
      </c>
      <c r="V75" s="58">
        <v>1155</v>
      </c>
      <c r="W75" s="58">
        <v>780</v>
      </c>
      <c r="X75" s="68">
        <v>4</v>
      </c>
      <c r="Y75" s="68">
        <v>15</v>
      </c>
      <c r="Z75" s="68">
        <v>2</v>
      </c>
      <c r="AA75" s="58">
        <v>60</v>
      </c>
      <c r="AB75" s="58">
        <v>2</v>
      </c>
      <c r="AC75" s="59">
        <v>120</v>
      </c>
      <c r="AD75" s="57">
        <v>780</v>
      </c>
      <c r="AE75" s="58">
        <v>1155</v>
      </c>
      <c r="AF75" s="58">
        <v>755</v>
      </c>
      <c r="AG75" s="68">
        <v>4</v>
      </c>
      <c r="AH75" s="68">
        <v>15</v>
      </c>
      <c r="AI75" s="68">
        <v>2</v>
      </c>
      <c r="AJ75" s="58">
        <v>60</v>
      </c>
      <c r="AK75" s="58">
        <v>2</v>
      </c>
      <c r="AL75" s="59">
        <v>120</v>
      </c>
      <c r="AM75" s="57">
        <v>780</v>
      </c>
      <c r="AN75" s="58">
        <v>755</v>
      </c>
      <c r="AO75" s="58">
        <v>1155</v>
      </c>
      <c r="AP75" s="68">
        <v>4</v>
      </c>
      <c r="AQ75" s="68">
        <v>10</v>
      </c>
      <c r="AR75" s="68">
        <v>4</v>
      </c>
      <c r="AS75" s="58">
        <v>40</v>
      </c>
      <c r="AT75" s="58">
        <v>4</v>
      </c>
      <c r="AU75" s="59">
        <v>160</v>
      </c>
      <c r="AV75" s="57">
        <v>755</v>
      </c>
      <c r="AW75" s="58">
        <v>780</v>
      </c>
      <c r="AX75" s="58">
        <v>1155</v>
      </c>
      <c r="AY75" s="68">
        <v>4</v>
      </c>
      <c r="AZ75" s="68">
        <v>10</v>
      </c>
      <c r="BA75" s="68">
        <v>4</v>
      </c>
      <c r="BB75" s="58">
        <v>40</v>
      </c>
      <c r="BC75" s="58">
        <v>4</v>
      </c>
      <c r="BD75" s="59">
        <v>160</v>
      </c>
      <c r="BE75" s="57">
        <v>1155</v>
      </c>
      <c r="BF75" s="58">
        <v>780</v>
      </c>
      <c r="BG75" s="58">
        <v>755</v>
      </c>
      <c r="BH75" s="68">
        <v>6</v>
      </c>
      <c r="BI75" s="68">
        <v>10</v>
      </c>
      <c r="BJ75" s="68">
        <v>2</v>
      </c>
      <c r="BK75" s="58">
        <v>60</v>
      </c>
      <c r="BL75" s="58">
        <v>2</v>
      </c>
      <c r="BM75" s="59">
        <v>120</v>
      </c>
    </row>
    <row r="76" spans="1:65" x14ac:dyDescent="0.3">
      <c r="A76" s="83">
        <v>9</v>
      </c>
      <c r="B76" s="70">
        <v>14007842</v>
      </c>
      <c r="C76" s="66" t="str">
        <v>DRIVER SIDE KNEE COVER RHD ASSY</v>
      </c>
      <c r="D76" s="58">
        <v>170</v>
      </c>
      <c r="E76" s="58">
        <v>70</v>
      </c>
      <c r="F76" s="58">
        <v>265</v>
      </c>
      <c r="G76" s="58">
        <v>80</v>
      </c>
      <c r="H76" s="58">
        <v>1</v>
      </c>
      <c r="I76" s="58">
        <v>80</v>
      </c>
      <c r="J76" s="58">
        <v>40</v>
      </c>
      <c r="K76" s="72" t="str">
        <v>FCS (810 x 760 x 860)mm</v>
      </c>
      <c r="L76" s="57">
        <v>780</v>
      </c>
      <c r="M76" s="58">
        <v>730</v>
      </c>
      <c r="N76" s="58">
        <v>720</v>
      </c>
      <c r="O76" s="68">
        <v>4</v>
      </c>
      <c r="P76" s="68">
        <v>9</v>
      </c>
      <c r="Q76" s="68">
        <v>2</v>
      </c>
      <c r="R76" s="58">
        <v>36</v>
      </c>
      <c r="S76" s="58">
        <v>2</v>
      </c>
      <c r="T76" s="59">
        <v>72</v>
      </c>
      <c r="U76" s="57">
        <v>730</v>
      </c>
      <c r="V76" s="58">
        <v>780</v>
      </c>
      <c r="W76" s="58">
        <v>720</v>
      </c>
      <c r="X76" s="68">
        <v>4</v>
      </c>
      <c r="Y76" s="68">
        <v>10</v>
      </c>
      <c r="Z76" s="68">
        <v>2</v>
      </c>
      <c r="AA76" s="58">
        <v>40</v>
      </c>
      <c r="AB76" s="58">
        <v>2</v>
      </c>
      <c r="AC76" s="59">
        <v>80</v>
      </c>
      <c r="AD76" s="57">
        <v>720</v>
      </c>
      <c r="AE76" s="58">
        <v>780</v>
      </c>
      <c r="AF76" s="58">
        <v>730</v>
      </c>
      <c r="AG76" s="68">
        <v>4</v>
      </c>
      <c r="AH76" s="68">
        <v>10</v>
      </c>
      <c r="AI76" s="68">
        <v>2</v>
      </c>
      <c r="AJ76" s="58">
        <v>40</v>
      </c>
      <c r="AK76" s="58">
        <v>2</v>
      </c>
      <c r="AL76" s="59">
        <v>80</v>
      </c>
      <c r="AM76" s="57">
        <v>720</v>
      </c>
      <c r="AN76" s="58">
        <v>730</v>
      </c>
      <c r="AO76" s="58">
        <v>780</v>
      </c>
      <c r="AP76" s="68">
        <v>4</v>
      </c>
      <c r="AQ76" s="68">
        <v>9</v>
      </c>
      <c r="AR76" s="68">
        <v>2</v>
      </c>
      <c r="AS76" s="58">
        <v>36</v>
      </c>
      <c r="AT76" s="58">
        <v>2</v>
      </c>
      <c r="AU76" s="59">
        <v>72</v>
      </c>
      <c r="AV76" s="57">
        <v>730</v>
      </c>
      <c r="AW76" s="58">
        <v>720</v>
      </c>
      <c r="AX76" s="58">
        <v>780</v>
      </c>
      <c r="AY76" s="68">
        <v>4</v>
      </c>
      <c r="AZ76" s="68">
        <v>9</v>
      </c>
      <c r="BA76" s="68">
        <v>2</v>
      </c>
      <c r="BB76" s="58">
        <v>36</v>
      </c>
      <c r="BC76" s="58">
        <v>2</v>
      </c>
      <c r="BD76" s="59">
        <v>72</v>
      </c>
      <c r="BE76" s="57">
        <v>780</v>
      </c>
      <c r="BF76" s="58">
        <v>720</v>
      </c>
      <c r="BG76" s="58">
        <v>730</v>
      </c>
      <c r="BH76" s="68">
        <v>4</v>
      </c>
      <c r="BI76" s="68">
        <v>9</v>
      </c>
      <c r="BJ76" s="68">
        <v>2</v>
      </c>
      <c r="BK76" s="58">
        <v>36</v>
      </c>
      <c r="BL76" s="58">
        <v>2</v>
      </c>
      <c r="BM76" s="59">
        <v>72</v>
      </c>
    </row>
    <row r="77" spans="1:65" x14ac:dyDescent="0.3">
      <c r="A77" s="83">
        <v>9</v>
      </c>
      <c r="B77" s="70">
        <v>14007842</v>
      </c>
      <c r="C77" s="66" t="str">
        <v>DRIVER SIDE KNEE COVER RHD ASSY</v>
      </c>
      <c r="D77" s="58">
        <v>170</v>
      </c>
      <c r="E77" s="58">
        <v>70</v>
      </c>
      <c r="F77" s="58">
        <v>265</v>
      </c>
      <c r="G77" s="58">
        <v>80</v>
      </c>
      <c r="H77" s="58">
        <v>1</v>
      </c>
      <c r="I77" s="58">
        <v>80</v>
      </c>
      <c r="J77" s="58">
        <v>40</v>
      </c>
      <c r="K77" s="72" t="str">
        <v>Crate (600 x 400 x 120) mm</v>
      </c>
      <c r="L77" s="57">
        <v>560</v>
      </c>
      <c r="M77" s="58">
        <v>360</v>
      </c>
      <c r="N77" s="58">
        <v>105</v>
      </c>
      <c r="O77" s="68">
        <v>3</v>
      </c>
      <c r="P77" s="68">
        <v>4</v>
      </c>
      <c r="Q77" s="68">
        <v>0</v>
      </c>
      <c r="R77" s="58">
        <v>12</v>
      </c>
      <c r="S77" s="58">
        <v>0</v>
      </c>
      <c r="T77" s="59">
        <v>0</v>
      </c>
      <c r="U77" s="57">
        <v>360</v>
      </c>
      <c r="V77" s="58">
        <v>560</v>
      </c>
      <c r="W77" s="58">
        <v>105</v>
      </c>
      <c r="X77" s="68">
        <v>2</v>
      </c>
      <c r="Y77" s="68">
        <v>7</v>
      </c>
      <c r="Z77" s="68">
        <v>0</v>
      </c>
      <c r="AA77" s="58">
        <v>14</v>
      </c>
      <c r="AB77" s="58">
        <v>0</v>
      </c>
      <c r="AC77" s="59">
        <v>0</v>
      </c>
      <c r="AD77" s="57">
        <v>105</v>
      </c>
      <c r="AE77" s="58">
        <v>560</v>
      </c>
      <c r="AF77" s="58">
        <v>360</v>
      </c>
      <c r="AG77" s="68">
        <v>0</v>
      </c>
      <c r="AH77" s="68">
        <v>7</v>
      </c>
      <c r="AI77" s="68">
        <v>1</v>
      </c>
      <c r="AJ77" s="58">
        <v>0</v>
      </c>
      <c r="AK77" s="58">
        <v>1</v>
      </c>
      <c r="AL77" s="59">
        <v>0</v>
      </c>
      <c r="AM77" s="57">
        <v>105</v>
      </c>
      <c r="AN77" s="58">
        <v>360</v>
      </c>
      <c r="AO77" s="58">
        <v>560</v>
      </c>
      <c r="AP77" s="68">
        <v>0</v>
      </c>
      <c r="AQ77" s="68">
        <v>4</v>
      </c>
      <c r="AR77" s="68">
        <v>2</v>
      </c>
      <c r="AS77" s="58">
        <v>0</v>
      </c>
      <c r="AT77" s="58">
        <v>2</v>
      </c>
      <c r="AU77" s="59">
        <v>0</v>
      </c>
      <c r="AV77" s="57">
        <v>360</v>
      </c>
      <c r="AW77" s="58">
        <v>105</v>
      </c>
      <c r="AX77" s="58">
        <v>560</v>
      </c>
      <c r="AY77" s="68">
        <v>2</v>
      </c>
      <c r="AZ77" s="68">
        <v>1</v>
      </c>
      <c r="BA77" s="68">
        <v>2</v>
      </c>
      <c r="BB77" s="58">
        <v>2</v>
      </c>
      <c r="BC77" s="58">
        <v>2</v>
      </c>
      <c r="BD77" s="59">
        <v>4</v>
      </c>
      <c r="BE77" s="57">
        <v>560</v>
      </c>
      <c r="BF77" s="58">
        <v>105</v>
      </c>
      <c r="BG77" s="58">
        <v>360</v>
      </c>
      <c r="BH77" s="68">
        <v>3</v>
      </c>
      <c r="BI77" s="68">
        <v>1</v>
      </c>
      <c r="BJ77" s="68">
        <v>1</v>
      </c>
      <c r="BK77" s="58">
        <v>3</v>
      </c>
      <c r="BL77" s="58">
        <v>1</v>
      </c>
      <c r="BM77" s="59">
        <v>3</v>
      </c>
    </row>
    <row r="78" spans="1:65" x14ac:dyDescent="0.3">
      <c r="A78" s="83">
        <v>9</v>
      </c>
      <c r="B78" s="70">
        <v>14007842</v>
      </c>
      <c r="C78" s="66" t="str">
        <v>DRIVER SIDE KNEE COVER RHD ASSY</v>
      </c>
      <c r="D78" s="58">
        <v>170</v>
      </c>
      <c r="E78" s="58">
        <v>70</v>
      </c>
      <c r="F78" s="58">
        <v>265</v>
      </c>
      <c r="G78" s="58">
        <v>80</v>
      </c>
      <c r="H78" s="58">
        <v>1</v>
      </c>
      <c r="I78" s="58">
        <v>80</v>
      </c>
      <c r="J78" s="58">
        <v>40</v>
      </c>
      <c r="K78" s="72" t="str">
        <v>Crate (600 x 400 x 170) mm</v>
      </c>
      <c r="L78" s="57">
        <v>560</v>
      </c>
      <c r="M78" s="58">
        <v>360</v>
      </c>
      <c r="N78" s="58">
        <v>155</v>
      </c>
      <c r="O78" s="68">
        <v>3</v>
      </c>
      <c r="P78" s="68">
        <v>4</v>
      </c>
      <c r="Q78" s="68">
        <v>0</v>
      </c>
      <c r="R78" s="58">
        <v>12</v>
      </c>
      <c r="S78" s="58">
        <v>0</v>
      </c>
      <c r="T78" s="59">
        <v>0</v>
      </c>
      <c r="U78" s="57">
        <v>360</v>
      </c>
      <c r="V78" s="58">
        <v>560</v>
      </c>
      <c r="W78" s="58">
        <v>155</v>
      </c>
      <c r="X78" s="68">
        <v>2</v>
      </c>
      <c r="Y78" s="68">
        <v>7</v>
      </c>
      <c r="Z78" s="68">
        <v>0</v>
      </c>
      <c r="AA78" s="58">
        <v>14</v>
      </c>
      <c r="AB78" s="58">
        <v>0</v>
      </c>
      <c r="AC78" s="59">
        <v>0</v>
      </c>
      <c r="AD78" s="57">
        <v>155</v>
      </c>
      <c r="AE78" s="58">
        <v>560</v>
      </c>
      <c r="AF78" s="58">
        <v>360</v>
      </c>
      <c r="AG78" s="68">
        <v>0</v>
      </c>
      <c r="AH78" s="68">
        <v>7</v>
      </c>
      <c r="AI78" s="68">
        <v>1</v>
      </c>
      <c r="AJ78" s="58">
        <v>0</v>
      </c>
      <c r="AK78" s="58">
        <v>1</v>
      </c>
      <c r="AL78" s="59">
        <v>0</v>
      </c>
      <c r="AM78" s="57">
        <v>155</v>
      </c>
      <c r="AN78" s="58">
        <v>360</v>
      </c>
      <c r="AO78" s="58">
        <v>560</v>
      </c>
      <c r="AP78" s="68">
        <v>0</v>
      </c>
      <c r="AQ78" s="68">
        <v>4</v>
      </c>
      <c r="AR78" s="68">
        <v>2</v>
      </c>
      <c r="AS78" s="58">
        <v>0</v>
      </c>
      <c r="AT78" s="58">
        <v>2</v>
      </c>
      <c r="AU78" s="59">
        <v>0</v>
      </c>
      <c r="AV78" s="57">
        <v>360</v>
      </c>
      <c r="AW78" s="58">
        <v>155</v>
      </c>
      <c r="AX78" s="58">
        <v>560</v>
      </c>
      <c r="AY78" s="68">
        <v>2</v>
      </c>
      <c r="AZ78" s="68">
        <v>2</v>
      </c>
      <c r="BA78" s="68">
        <v>2</v>
      </c>
      <c r="BB78" s="58">
        <v>4</v>
      </c>
      <c r="BC78" s="58">
        <v>2</v>
      </c>
      <c r="BD78" s="59">
        <v>8</v>
      </c>
      <c r="BE78" s="57">
        <v>560</v>
      </c>
      <c r="BF78" s="58">
        <v>155</v>
      </c>
      <c r="BG78" s="58">
        <v>360</v>
      </c>
      <c r="BH78" s="68">
        <v>3</v>
      </c>
      <c r="BI78" s="68">
        <v>2</v>
      </c>
      <c r="BJ78" s="68">
        <v>1</v>
      </c>
      <c r="BK78" s="58">
        <v>6</v>
      </c>
      <c r="BL78" s="58">
        <v>1</v>
      </c>
      <c r="BM78" s="59">
        <v>6</v>
      </c>
    </row>
    <row r="79" spans="1:65" x14ac:dyDescent="0.3">
      <c r="A79" s="83">
        <v>9</v>
      </c>
      <c r="B79" s="70">
        <v>14007842</v>
      </c>
      <c r="C79" s="66" t="str">
        <v>DRIVER SIDE KNEE COVER RHD ASSY</v>
      </c>
      <c r="D79" s="58">
        <v>170</v>
      </c>
      <c r="E79" s="58">
        <v>70</v>
      </c>
      <c r="F79" s="58">
        <v>265</v>
      </c>
      <c r="G79" s="58">
        <v>80</v>
      </c>
      <c r="H79" s="58">
        <v>1</v>
      </c>
      <c r="I79" s="58">
        <v>80</v>
      </c>
      <c r="J79" s="58">
        <v>40</v>
      </c>
      <c r="K79" s="72" t="str">
        <v>Crate (600 x 400 x 220) mm</v>
      </c>
      <c r="L79" s="57">
        <v>560</v>
      </c>
      <c r="M79" s="58">
        <v>360</v>
      </c>
      <c r="N79" s="58">
        <v>205</v>
      </c>
      <c r="O79" s="68">
        <v>3</v>
      </c>
      <c r="P79" s="68">
        <v>4</v>
      </c>
      <c r="Q79" s="68">
        <v>0</v>
      </c>
      <c r="R79" s="58">
        <v>12</v>
      </c>
      <c r="S79" s="58">
        <v>0</v>
      </c>
      <c r="T79" s="59">
        <v>0</v>
      </c>
      <c r="U79" s="57">
        <v>360</v>
      </c>
      <c r="V79" s="58">
        <v>560</v>
      </c>
      <c r="W79" s="58">
        <v>205</v>
      </c>
      <c r="X79" s="68">
        <v>2</v>
      </c>
      <c r="Y79" s="68">
        <v>7</v>
      </c>
      <c r="Z79" s="68">
        <v>0</v>
      </c>
      <c r="AA79" s="58">
        <v>14</v>
      </c>
      <c r="AB79" s="58">
        <v>0</v>
      </c>
      <c r="AC79" s="59">
        <v>0</v>
      </c>
      <c r="AD79" s="57">
        <v>205</v>
      </c>
      <c r="AE79" s="58">
        <v>560</v>
      </c>
      <c r="AF79" s="58">
        <v>360</v>
      </c>
      <c r="AG79" s="68">
        <v>1</v>
      </c>
      <c r="AH79" s="68">
        <v>7</v>
      </c>
      <c r="AI79" s="68">
        <v>1</v>
      </c>
      <c r="AJ79" s="58">
        <v>7</v>
      </c>
      <c r="AK79" s="58">
        <v>1</v>
      </c>
      <c r="AL79" s="59">
        <v>7</v>
      </c>
      <c r="AM79" s="57">
        <v>205</v>
      </c>
      <c r="AN79" s="58">
        <v>360</v>
      </c>
      <c r="AO79" s="58">
        <v>560</v>
      </c>
      <c r="AP79" s="68">
        <v>1</v>
      </c>
      <c r="AQ79" s="68">
        <v>4</v>
      </c>
      <c r="AR79" s="68">
        <v>2</v>
      </c>
      <c r="AS79" s="58">
        <v>4</v>
      </c>
      <c r="AT79" s="58">
        <v>2</v>
      </c>
      <c r="AU79" s="59">
        <v>8</v>
      </c>
      <c r="AV79" s="57">
        <v>360</v>
      </c>
      <c r="AW79" s="58">
        <v>205</v>
      </c>
      <c r="AX79" s="58">
        <v>560</v>
      </c>
      <c r="AY79" s="68">
        <v>2</v>
      </c>
      <c r="AZ79" s="68">
        <v>2</v>
      </c>
      <c r="BA79" s="68">
        <v>2</v>
      </c>
      <c r="BB79" s="58">
        <v>4</v>
      </c>
      <c r="BC79" s="58">
        <v>2</v>
      </c>
      <c r="BD79" s="59">
        <v>8</v>
      </c>
      <c r="BE79" s="57">
        <v>560</v>
      </c>
      <c r="BF79" s="58">
        <v>205</v>
      </c>
      <c r="BG79" s="58">
        <v>360</v>
      </c>
      <c r="BH79" s="68">
        <v>3</v>
      </c>
      <c r="BI79" s="68">
        <v>2</v>
      </c>
      <c r="BJ79" s="68">
        <v>1</v>
      </c>
      <c r="BK79" s="58">
        <v>6</v>
      </c>
      <c r="BL79" s="58">
        <v>1</v>
      </c>
      <c r="BM79" s="59">
        <v>6</v>
      </c>
    </row>
    <row r="80" spans="1:65" x14ac:dyDescent="0.3">
      <c r="A80" s="83">
        <v>9</v>
      </c>
      <c r="B80" s="70">
        <v>14007842</v>
      </c>
      <c r="C80" s="66" t="str">
        <v>DRIVER SIDE KNEE COVER RHD ASSY</v>
      </c>
      <c r="D80" s="58">
        <v>170</v>
      </c>
      <c r="E80" s="58">
        <v>70</v>
      </c>
      <c r="F80" s="58">
        <v>265</v>
      </c>
      <c r="G80" s="58">
        <v>80</v>
      </c>
      <c r="H80" s="58">
        <v>1</v>
      </c>
      <c r="I80" s="58">
        <v>80</v>
      </c>
      <c r="J80" s="58">
        <v>40</v>
      </c>
      <c r="K80" s="72" t="str">
        <v>Crate (400 x 300 x 120) mm</v>
      </c>
      <c r="L80" s="57">
        <v>360</v>
      </c>
      <c r="M80" s="58">
        <v>260</v>
      </c>
      <c r="N80" s="58">
        <v>105</v>
      </c>
      <c r="O80" s="68">
        <v>2</v>
      </c>
      <c r="P80" s="68">
        <v>3</v>
      </c>
      <c r="Q80" s="68">
        <v>0</v>
      </c>
      <c r="R80" s="58">
        <v>6</v>
      </c>
      <c r="S80" s="58">
        <v>0</v>
      </c>
      <c r="T80" s="59">
        <v>0</v>
      </c>
      <c r="U80" s="57">
        <v>260</v>
      </c>
      <c r="V80" s="58">
        <v>360</v>
      </c>
      <c r="W80" s="58">
        <v>105</v>
      </c>
      <c r="X80" s="68">
        <v>1</v>
      </c>
      <c r="Y80" s="68">
        <v>4</v>
      </c>
      <c r="Z80" s="68">
        <v>0</v>
      </c>
      <c r="AA80" s="58">
        <v>4</v>
      </c>
      <c r="AB80" s="58">
        <v>0</v>
      </c>
      <c r="AC80" s="59">
        <v>0</v>
      </c>
      <c r="AD80" s="57">
        <v>105</v>
      </c>
      <c r="AE80" s="58">
        <v>360</v>
      </c>
      <c r="AF80" s="58">
        <v>260</v>
      </c>
      <c r="AG80" s="68">
        <v>0</v>
      </c>
      <c r="AH80" s="68">
        <v>4</v>
      </c>
      <c r="AI80" s="68">
        <v>0</v>
      </c>
      <c r="AJ80" s="58">
        <v>0</v>
      </c>
      <c r="AK80" s="58">
        <v>0</v>
      </c>
      <c r="AL80" s="59">
        <v>0</v>
      </c>
      <c r="AM80" s="57">
        <v>105</v>
      </c>
      <c r="AN80" s="58">
        <v>260</v>
      </c>
      <c r="AO80" s="58">
        <v>360</v>
      </c>
      <c r="AP80" s="68">
        <v>0</v>
      </c>
      <c r="AQ80" s="68">
        <v>3</v>
      </c>
      <c r="AR80" s="68">
        <v>1</v>
      </c>
      <c r="AS80" s="58">
        <v>0</v>
      </c>
      <c r="AT80" s="58">
        <v>1</v>
      </c>
      <c r="AU80" s="59">
        <v>0</v>
      </c>
      <c r="AV80" s="57">
        <v>260</v>
      </c>
      <c r="AW80" s="58">
        <v>105</v>
      </c>
      <c r="AX80" s="58">
        <v>360</v>
      </c>
      <c r="AY80" s="68">
        <v>1</v>
      </c>
      <c r="AZ80" s="68">
        <v>1</v>
      </c>
      <c r="BA80" s="68">
        <v>1</v>
      </c>
      <c r="BB80" s="58">
        <v>1</v>
      </c>
      <c r="BC80" s="58">
        <v>1</v>
      </c>
      <c r="BD80" s="59">
        <v>1</v>
      </c>
      <c r="BE80" s="57">
        <v>360</v>
      </c>
      <c r="BF80" s="58">
        <v>105</v>
      </c>
      <c r="BG80" s="58">
        <v>260</v>
      </c>
      <c r="BH80" s="68">
        <v>2</v>
      </c>
      <c r="BI80" s="68">
        <v>1</v>
      </c>
      <c r="BJ80" s="68">
        <v>0</v>
      </c>
      <c r="BK80" s="58">
        <v>2</v>
      </c>
      <c r="BL80" s="58">
        <v>0</v>
      </c>
      <c r="BM80" s="59">
        <v>0</v>
      </c>
    </row>
    <row r="81" spans="1:65" x14ac:dyDescent="0.3">
      <c r="A81" s="83">
        <v>9</v>
      </c>
      <c r="B81" s="70">
        <v>14007842</v>
      </c>
      <c r="C81" s="66" t="str">
        <v>DRIVER SIDE KNEE COVER RHD ASSY</v>
      </c>
      <c r="D81" s="58">
        <v>170</v>
      </c>
      <c r="E81" s="58">
        <v>70</v>
      </c>
      <c r="F81" s="58">
        <v>265</v>
      </c>
      <c r="G81" s="58">
        <v>80</v>
      </c>
      <c r="H81" s="58">
        <v>1</v>
      </c>
      <c r="I81" s="58">
        <v>80</v>
      </c>
      <c r="J81" s="58">
        <v>40</v>
      </c>
      <c r="K81" s="72" t="str">
        <v>Crate (400 x 300 x 170) mm</v>
      </c>
      <c r="L81" s="57">
        <v>360</v>
      </c>
      <c r="M81" s="58">
        <v>260</v>
      </c>
      <c r="N81" s="58">
        <v>155</v>
      </c>
      <c r="O81" s="68">
        <v>2</v>
      </c>
      <c r="P81" s="68">
        <v>3</v>
      </c>
      <c r="Q81" s="68">
        <v>0</v>
      </c>
      <c r="R81" s="58">
        <v>6</v>
      </c>
      <c r="S81" s="58">
        <v>0</v>
      </c>
      <c r="T81" s="59">
        <v>0</v>
      </c>
      <c r="U81" s="57">
        <v>260</v>
      </c>
      <c r="V81" s="58">
        <v>360</v>
      </c>
      <c r="W81" s="58">
        <v>155</v>
      </c>
      <c r="X81" s="68">
        <v>1</v>
      </c>
      <c r="Y81" s="68">
        <v>4</v>
      </c>
      <c r="Z81" s="68">
        <v>0</v>
      </c>
      <c r="AA81" s="58">
        <v>4</v>
      </c>
      <c r="AB81" s="58">
        <v>0</v>
      </c>
      <c r="AC81" s="59">
        <v>0</v>
      </c>
      <c r="AD81" s="57">
        <v>155</v>
      </c>
      <c r="AE81" s="58">
        <v>360</v>
      </c>
      <c r="AF81" s="58">
        <v>260</v>
      </c>
      <c r="AG81" s="68">
        <v>0</v>
      </c>
      <c r="AH81" s="68">
        <v>4</v>
      </c>
      <c r="AI81" s="68">
        <v>0</v>
      </c>
      <c r="AJ81" s="58">
        <v>0</v>
      </c>
      <c r="AK81" s="58">
        <v>0</v>
      </c>
      <c r="AL81" s="59">
        <v>0</v>
      </c>
      <c r="AM81" s="57">
        <v>155</v>
      </c>
      <c r="AN81" s="58">
        <v>260</v>
      </c>
      <c r="AO81" s="58">
        <v>360</v>
      </c>
      <c r="AP81" s="68">
        <v>0</v>
      </c>
      <c r="AQ81" s="68">
        <v>3</v>
      </c>
      <c r="AR81" s="68">
        <v>1</v>
      </c>
      <c r="AS81" s="58">
        <v>0</v>
      </c>
      <c r="AT81" s="58">
        <v>1</v>
      </c>
      <c r="AU81" s="59">
        <v>0</v>
      </c>
      <c r="AV81" s="57">
        <v>260</v>
      </c>
      <c r="AW81" s="58">
        <v>155</v>
      </c>
      <c r="AX81" s="58">
        <v>360</v>
      </c>
      <c r="AY81" s="68">
        <v>1</v>
      </c>
      <c r="AZ81" s="68">
        <v>2</v>
      </c>
      <c r="BA81" s="68">
        <v>1</v>
      </c>
      <c r="BB81" s="58">
        <v>2</v>
      </c>
      <c r="BC81" s="58">
        <v>1</v>
      </c>
      <c r="BD81" s="59">
        <v>2</v>
      </c>
      <c r="BE81" s="57">
        <v>360</v>
      </c>
      <c r="BF81" s="58">
        <v>155</v>
      </c>
      <c r="BG81" s="58">
        <v>260</v>
      </c>
      <c r="BH81" s="68">
        <v>2</v>
      </c>
      <c r="BI81" s="68">
        <v>2</v>
      </c>
      <c r="BJ81" s="68">
        <v>0</v>
      </c>
      <c r="BK81" s="58">
        <v>4</v>
      </c>
      <c r="BL81" s="58">
        <v>0</v>
      </c>
      <c r="BM81" s="59">
        <v>0</v>
      </c>
    </row>
    <row r="82" spans="1:65" ht="15" thickBot="1" x14ac:dyDescent="0.35">
      <c r="A82" s="85">
        <v>9</v>
      </c>
      <c r="B82" s="81">
        <v>14007842</v>
      </c>
      <c r="C82" s="77" t="str">
        <v>DRIVER SIDE KNEE COVER RHD ASSY</v>
      </c>
      <c r="D82" s="64">
        <v>170</v>
      </c>
      <c r="E82" s="64">
        <v>70</v>
      </c>
      <c r="F82" s="64">
        <v>265</v>
      </c>
      <c r="G82" s="64">
        <v>80</v>
      </c>
      <c r="H82" s="64">
        <v>1</v>
      </c>
      <c r="I82" s="64">
        <v>80</v>
      </c>
      <c r="J82" s="64">
        <v>40</v>
      </c>
      <c r="K82" s="78" t="str">
        <v>Crate (400 x 300 x 220) mm</v>
      </c>
      <c r="L82" s="63">
        <v>360</v>
      </c>
      <c r="M82" s="64">
        <v>260</v>
      </c>
      <c r="N82" s="64">
        <v>205</v>
      </c>
      <c r="O82" s="79">
        <v>2</v>
      </c>
      <c r="P82" s="79">
        <v>3</v>
      </c>
      <c r="Q82" s="79">
        <v>0</v>
      </c>
      <c r="R82" s="64">
        <v>6</v>
      </c>
      <c r="S82" s="64">
        <v>0</v>
      </c>
      <c r="T82" s="65">
        <v>0</v>
      </c>
      <c r="U82" s="63">
        <v>260</v>
      </c>
      <c r="V82" s="64">
        <v>360</v>
      </c>
      <c r="W82" s="64">
        <v>205</v>
      </c>
      <c r="X82" s="79">
        <v>1</v>
      </c>
      <c r="Y82" s="79">
        <v>4</v>
      </c>
      <c r="Z82" s="79">
        <v>0</v>
      </c>
      <c r="AA82" s="64">
        <v>4</v>
      </c>
      <c r="AB82" s="64">
        <v>0</v>
      </c>
      <c r="AC82" s="65">
        <v>0</v>
      </c>
      <c r="AD82" s="63">
        <v>205</v>
      </c>
      <c r="AE82" s="64">
        <v>360</v>
      </c>
      <c r="AF82" s="64">
        <v>260</v>
      </c>
      <c r="AG82" s="79">
        <v>1</v>
      </c>
      <c r="AH82" s="79">
        <v>4</v>
      </c>
      <c r="AI82" s="79">
        <v>0</v>
      </c>
      <c r="AJ82" s="64">
        <v>4</v>
      </c>
      <c r="AK82" s="64">
        <v>0</v>
      </c>
      <c r="AL82" s="65">
        <v>0</v>
      </c>
      <c r="AM82" s="63">
        <v>205</v>
      </c>
      <c r="AN82" s="64">
        <v>260</v>
      </c>
      <c r="AO82" s="64">
        <v>360</v>
      </c>
      <c r="AP82" s="79">
        <v>1</v>
      </c>
      <c r="AQ82" s="79">
        <v>3</v>
      </c>
      <c r="AR82" s="79">
        <v>1</v>
      </c>
      <c r="AS82" s="64">
        <v>3</v>
      </c>
      <c r="AT82" s="64">
        <v>1</v>
      </c>
      <c r="AU82" s="65">
        <v>3</v>
      </c>
      <c r="AV82" s="63">
        <v>260</v>
      </c>
      <c r="AW82" s="64">
        <v>205</v>
      </c>
      <c r="AX82" s="64">
        <v>360</v>
      </c>
      <c r="AY82" s="79">
        <v>1</v>
      </c>
      <c r="AZ82" s="79">
        <v>2</v>
      </c>
      <c r="BA82" s="79">
        <v>1</v>
      </c>
      <c r="BB82" s="64">
        <v>2</v>
      </c>
      <c r="BC82" s="64">
        <v>1</v>
      </c>
      <c r="BD82" s="65">
        <v>2</v>
      </c>
      <c r="BE82" s="63">
        <v>360</v>
      </c>
      <c r="BF82" s="64">
        <v>205</v>
      </c>
      <c r="BG82" s="64">
        <v>260</v>
      </c>
      <c r="BH82" s="79">
        <v>2</v>
      </c>
      <c r="BI82" s="79">
        <v>2</v>
      </c>
      <c r="BJ82" s="79">
        <v>0</v>
      </c>
      <c r="BK82" s="64">
        <v>4</v>
      </c>
      <c r="BL82" s="64">
        <v>0</v>
      </c>
      <c r="BM82" s="65">
        <v>0</v>
      </c>
    </row>
    <row r="83" spans="1:65" x14ac:dyDescent="0.3">
      <c r="A83" s="82">
        <v>10</v>
      </c>
      <c r="B83" s="80">
        <v>14007843</v>
      </c>
      <c r="C83" s="74" t="str">
        <v>DIN_BIN</v>
      </c>
      <c r="D83" s="55">
        <v>225</v>
      </c>
      <c r="E83" s="55">
        <v>70</v>
      </c>
      <c r="F83" s="55">
        <v>310</v>
      </c>
      <c r="G83" s="55">
        <v>192</v>
      </c>
      <c r="H83" s="55">
        <v>3</v>
      </c>
      <c r="I83" s="55">
        <v>576</v>
      </c>
      <c r="J83" s="55">
        <v>6</v>
      </c>
      <c r="K83" s="75" t="str">
        <v>FLC ( 1200 x 1000 x 800) mm</v>
      </c>
      <c r="L83" s="54">
        <v>1120</v>
      </c>
      <c r="M83" s="55">
        <v>920</v>
      </c>
      <c r="N83" s="55">
        <v>640</v>
      </c>
      <c r="O83" s="76">
        <v>4</v>
      </c>
      <c r="P83" s="76">
        <v>12</v>
      </c>
      <c r="Q83" s="76">
        <v>2</v>
      </c>
      <c r="R83" s="55">
        <v>48</v>
      </c>
      <c r="S83" s="55">
        <v>2</v>
      </c>
      <c r="T83" s="56">
        <v>96</v>
      </c>
      <c r="U83" s="54">
        <v>920</v>
      </c>
      <c r="V83" s="55">
        <v>1120</v>
      </c>
      <c r="W83" s="55">
        <v>640</v>
      </c>
      <c r="X83" s="76">
        <v>4</v>
      </c>
      <c r="Y83" s="76">
        <v>14</v>
      </c>
      <c r="Z83" s="76">
        <v>2</v>
      </c>
      <c r="AA83" s="55">
        <v>56</v>
      </c>
      <c r="AB83" s="55">
        <v>2</v>
      </c>
      <c r="AC83" s="56">
        <v>112</v>
      </c>
      <c r="AD83" s="54">
        <v>640</v>
      </c>
      <c r="AE83" s="55">
        <v>1120</v>
      </c>
      <c r="AF83" s="55">
        <v>920</v>
      </c>
      <c r="AG83" s="76">
        <v>2</v>
      </c>
      <c r="AH83" s="76">
        <v>14</v>
      </c>
      <c r="AI83" s="76">
        <v>2</v>
      </c>
      <c r="AJ83" s="55">
        <v>28</v>
      </c>
      <c r="AK83" s="55">
        <v>2</v>
      </c>
      <c r="AL83" s="56">
        <v>56</v>
      </c>
      <c r="AM83" s="54">
        <v>640</v>
      </c>
      <c r="AN83" s="55">
        <v>920</v>
      </c>
      <c r="AO83" s="55">
        <v>1120</v>
      </c>
      <c r="AP83" s="76">
        <v>2</v>
      </c>
      <c r="AQ83" s="76">
        <v>12</v>
      </c>
      <c r="AR83" s="76">
        <v>3</v>
      </c>
      <c r="AS83" s="55">
        <v>24</v>
      </c>
      <c r="AT83" s="55">
        <v>3</v>
      </c>
      <c r="AU83" s="56">
        <v>72</v>
      </c>
      <c r="AV83" s="54">
        <v>920</v>
      </c>
      <c r="AW83" s="55">
        <v>640</v>
      </c>
      <c r="AX83" s="55">
        <v>1120</v>
      </c>
      <c r="AY83" s="76">
        <v>4</v>
      </c>
      <c r="AZ83" s="76">
        <v>8</v>
      </c>
      <c r="BA83" s="76">
        <v>3</v>
      </c>
      <c r="BB83" s="55">
        <v>32</v>
      </c>
      <c r="BC83" s="55">
        <v>3</v>
      </c>
      <c r="BD83" s="56">
        <v>96</v>
      </c>
      <c r="BE83" s="54">
        <v>1120</v>
      </c>
      <c r="BF83" s="55">
        <v>640</v>
      </c>
      <c r="BG83" s="55">
        <v>920</v>
      </c>
      <c r="BH83" s="76">
        <v>4</v>
      </c>
      <c r="BI83" s="76">
        <v>8</v>
      </c>
      <c r="BJ83" s="76">
        <v>2</v>
      </c>
      <c r="BK83" s="55">
        <v>32</v>
      </c>
      <c r="BL83" s="55">
        <v>2</v>
      </c>
      <c r="BM83" s="56">
        <v>64</v>
      </c>
    </row>
    <row r="84" spans="1:65" x14ac:dyDescent="0.3">
      <c r="A84" s="83">
        <v>10</v>
      </c>
      <c r="B84" s="70">
        <v>14007843</v>
      </c>
      <c r="C84" s="66" t="str">
        <v>DIN_BIN</v>
      </c>
      <c r="D84" s="58">
        <v>225</v>
      </c>
      <c r="E84" s="58">
        <v>70</v>
      </c>
      <c r="F84" s="58">
        <v>310</v>
      </c>
      <c r="G84" s="58">
        <v>192</v>
      </c>
      <c r="H84" s="58">
        <v>3</v>
      </c>
      <c r="I84" s="58">
        <v>576</v>
      </c>
      <c r="J84" s="58">
        <v>6</v>
      </c>
      <c r="K84" s="72" t="str">
        <v>FLC ( 1200 x 800 x 975) mm</v>
      </c>
      <c r="L84" s="57">
        <v>1155</v>
      </c>
      <c r="M84" s="58">
        <v>755</v>
      </c>
      <c r="N84" s="58">
        <v>780</v>
      </c>
      <c r="O84" s="68">
        <v>5</v>
      </c>
      <c r="P84" s="68">
        <v>10</v>
      </c>
      <c r="Q84" s="68">
        <v>2</v>
      </c>
      <c r="R84" s="58">
        <v>50</v>
      </c>
      <c r="S84" s="58">
        <v>2</v>
      </c>
      <c r="T84" s="59">
        <v>100</v>
      </c>
      <c r="U84" s="57">
        <v>755</v>
      </c>
      <c r="V84" s="58">
        <v>1155</v>
      </c>
      <c r="W84" s="58">
        <v>780</v>
      </c>
      <c r="X84" s="68">
        <v>3</v>
      </c>
      <c r="Y84" s="68">
        <v>15</v>
      </c>
      <c r="Z84" s="68">
        <v>2</v>
      </c>
      <c r="AA84" s="58">
        <v>45</v>
      </c>
      <c r="AB84" s="58">
        <v>2</v>
      </c>
      <c r="AC84" s="59">
        <v>90</v>
      </c>
      <c r="AD84" s="57">
        <v>780</v>
      </c>
      <c r="AE84" s="58">
        <v>1155</v>
      </c>
      <c r="AF84" s="58">
        <v>755</v>
      </c>
      <c r="AG84" s="68">
        <v>3</v>
      </c>
      <c r="AH84" s="68">
        <v>15</v>
      </c>
      <c r="AI84" s="68">
        <v>2</v>
      </c>
      <c r="AJ84" s="58">
        <v>45</v>
      </c>
      <c r="AK84" s="58">
        <v>2</v>
      </c>
      <c r="AL84" s="59">
        <v>90</v>
      </c>
      <c r="AM84" s="57">
        <v>780</v>
      </c>
      <c r="AN84" s="58">
        <v>755</v>
      </c>
      <c r="AO84" s="58">
        <v>1155</v>
      </c>
      <c r="AP84" s="68">
        <v>3</v>
      </c>
      <c r="AQ84" s="68">
        <v>10</v>
      </c>
      <c r="AR84" s="68">
        <v>3</v>
      </c>
      <c r="AS84" s="58">
        <v>30</v>
      </c>
      <c r="AT84" s="58">
        <v>3</v>
      </c>
      <c r="AU84" s="59">
        <v>90</v>
      </c>
      <c r="AV84" s="57">
        <v>755</v>
      </c>
      <c r="AW84" s="58">
        <v>780</v>
      </c>
      <c r="AX84" s="58">
        <v>1155</v>
      </c>
      <c r="AY84" s="68">
        <v>3</v>
      </c>
      <c r="AZ84" s="68">
        <v>10</v>
      </c>
      <c r="BA84" s="68">
        <v>3</v>
      </c>
      <c r="BB84" s="58">
        <v>30</v>
      </c>
      <c r="BC84" s="58">
        <v>3</v>
      </c>
      <c r="BD84" s="59">
        <v>90</v>
      </c>
      <c r="BE84" s="57">
        <v>1155</v>
      </c>
      <c r="BF84" s="58">
        <v>780</v>
      </c>
      <c r="BG84" s="58">
        <v>755</v>
      </c>
      <c r="BH84" s="68">
        <v>5</v>
      </c>
      <c r="BI84" s="68">
        <v>10</v>
      </c>
      <c r="BJ84" s="68">
        <v>2</v>
      </c>
      <c r="BK84" s="58">
        <v>50</v>
      </c>
      <c r="BL84" s="58">
        <v>2</v>
      </c>
      <c r="BM84" s="59">
        <v>100</v>
      </c>
    </row>
    <row r="85" spans="1:65" x14ac:dyDescent="0.3">
      <c r="A85" s="83">
        <v>10</v>
      </c>
      <c r="B85" s="70">
        <v>14007843</v>
      </c>
      <c r="C85" s="66" t="str">
        <v>DIN_BIN</v>
      </c>
      <c r="D85" s="58">
        <v>225</v>
      </c>
      <c r="E85" s="58">
        <v>70</v>
      </c>
      <c r="F85" s="58">
        <v>310</v>
      </c>
      <c r="G85" s="58">
        <v>192</v>
      </c>
      <c r="H85" s="58">
        <v>3</v>
      </c>
      <c r="I85" s="58">
        <v>576</v>
      </c>
      <c r="J85" s="58">
        <v>6</v>
      </c>
      <c r="K85" s="72" t="str">
        <v>FCS (810 x 760 x 860)mm</v>
      </c>
      <c r="L85" s="57">
        <v>780</v>
      </c>
      <c r="M85" s="58">
        <v>730</v>
      </c>
      <c r="N85" s="58">
        <v>720</v>
      </c>
      <c r="O85" s="68">
        <v>3</v>
      </c>
      <c r="P85" s="68">
        <v>9</v>
      </c>
      <c r="Q85" s="68">
        <v>2</v>
      </c>
      <c r="R85" s="58">
        <v>27</v>
      </c>
      <c r="S85" s="58">
        <v>2</v>
      </c>
      <c r="T85" s="59">
        <v>54</v>
      </c>
      <c r="U85" s="57">
        <v>730</v>
      </c>
      <c r="V85" s="58">
        <v>780</v>
      </c>
      <c r="W85" s="58">
        <v>720</v>
      </c>
      <c r="X85" s="68">
        <v>3</v>
      </c>
      <c r="Y85" s="68">
        <v>10</v>
      </c>
      <c r="Z85" s="68">
        <v>2</v>
      </c>
      <c r="AA85" s="58">
        <v>30</v>
      </c>
      <c r="AB85" s="58">
        <v>2</v>
      </c>
      <c r="AC85" s="59">
        <v>60</v>
      </c>
      <c r="AD85" s="57">
        <v>720</v>
      </c>
      <c r="AE85" s="58">
        <v>780</v>
      </c>
      <c r="AF85" s="58">
        <v>730</v>
      </c>
      <c r="AG85" s="68">
        <v>3</v>
      </c>
      <c r="AH85" s="68">
        <v>10</v>
      </c>
      <c r="AI85" s="68">
        <v>2</v>
      </c>
      <c r="AJ85" s="58">
        <v>30</v>
      </c>
      <c r="AK85" s="58">
        <v>2</v>
      </c>
      <c r="AL85" s="59">
        <v>60</v>
      </c>
      <c r="AM85" s="57">
        <v>720</v>
      </c>
      <c r="AN85" s="58">
        <v>730</v>
      </c>
      <c r="AO85" s="58">
        <v>780</v>
      </c>
      <c r="AP85" s="68">
        <v>3</v>
      </c>
      <c r="AQ85" s="68">
        <v>9</v>
      </c>
      <c r="AR85" s="68">
        <v>2</v>
      </c>
      <c r="AS85" s="58">
        <v>27</v>
      </c>
      <c r="AT85" s="58">
        <v>2</v>
      </c>
      <c r="AU85" s="59">
        <v>54</v>
      </c>
      <c r="AV85" s="57">
        <v>730</v>
      </c>
      <c r="AW85" s="58">
        <v>720</v>
      </c>
      <c r="AX85" s="58">
        <v>780</v>
      </c>
      <c r="AY85" s="68">
        <v>3</v>
      </c>
      <c r="AZ85" s="68">
        <v>9</v>
      </c>
      <c r="BA85" s="68">
        <v>2</v>
      </c>
      <c r="BB85" s="58">
        <v>27</v>
      </c>
      <c r="BC85" s="58">
        <v>2</v>
      </c>
      <c r="BD85" s="59">
        <v>54</v>
      </c>
      <c r="BE85" s="57">
        <v>780</v>
      </c>
      <c r="BF85" s="58">
        <v>720</v>
      </c>
      <c r="BG85" s="58">
        <v>730</v>
      </c>
      <c r="BH85" s="68">
        <v>3</v>
      </c>
      <c r="BI85" s="68">
        <v>9</v>
      </c>
      <c r="BJ85" s="68">
        <v>2</v>
      </c>
      <c r="BK85" s="58">
        <v>27</v>
      </c>
      <c r="BL85" s="58">
        <v>2</v>
      </c>
      <c r="BM85" s="59">
        <v>54</v>
      </c>
    </row>
    <row r="86" spans="1:65" x14ac:dyDescent="0.3">
      <c r="A86" s="83">
        <v>10</v>
      </c>
      <c r="B86" s="70">
        <v>14007843</v>
      </c>
      <c r="C86" s="66" t="str">
        <v>DIN_BIN</v>
      </c>
      <c r="D86" s="58">
        <v>225</v>
      </c>
      <c r="E86" s="58">
        <v>70</v>
      </c>
      <c r="F86" s="58">
        <v>310</v>
      </c>
      <c r="G86" s="58">
        <v>192</v>
      </c>
      <c r="H86" s="58">
        <v>3</v>
      </c>
      <c r="I86" s="58">
        <v>576</v>
      </c>
      <c r="J86" s="58">
        <v>6</v>
      </c>
      <c r="K86" s="72" t="str">
        <v>Crate (600 x 400 x 120) mm</v>
      </c>
      <c r="L86" s="57">
        <v>560</v>
      </c>
      <c r="M86" s="58">
        <v>360</v>
      </c>
      <c r="N86" s="58">
        <v>105</v>
      </c>
      <c r="O86" s="68">
        <v>2</v>
      </c>
      <c r="P86" s="68">
        <v>4</v>
      </c>
      <c r="Q86" s="68">
        <v>0</v>
      </c>
      <c r="R86" s="58">
        <v>8</v>
      </c>
      <c r="S86" s="58">
        <v>0</v>
      </c>
      <c r="T86" s="59">
        <v>0</v>
      </c>
      <c r="U86" s="57">
        <v>360</v>
      </c>
      <c r="V86" s="58">
        <v>560</v>
      </c>
      <c r="W86" s="58">
        <v>105</v>
      </c>
      <c r="X86" s="68">
        <v>1</v>
      </c>
      <c r="Y86" s="68">
        <v>7</v>
      </c>
      <c r="Z86" s="68">
        <v>0</v>
      </c>
      <c r="AA86" s="58">
        <v>7</v>
      </c>
      <c r="AB86" s="58">
        <v>0</v>
      </c>
      <c r="AC86" s="59">
        <v>0</v>
      </c>
      <c r="AD86" s="57">
        <v>105</v>
      </c>
      <c r="AE86" s="58">
        <v>560</v>
      </c>
      <c r="AF86" s="58">
        <v>360</v>
      </c>
      <c r="AG86" s="68">
        <v>0</v>
      </c>
      <c r="AH86" s="68">
        <v>7</v>
      </c>
      <c r="AI86" s="68">
        <v>1</v>
      </c>
      <c r="AJ86" s="58">
        <v>0</v>
      </c>
      <c r="AK86" s="58">
        <v>1</v>
      </c>
      <c r="AL86" s="59">
        <v>0</v>
      </c>
      <c r="AM86" s="57">
        <v>105</v>
      </c>
      <c r="AN86" s="58">
        <v>360</v>
      </c>
      <c r="AO86" s="58">
        <v>560</v>
      </c>
      <c r="AP86" s="68">
        <v>0</v>
      </c>
      <c r="AQ86" s="68">
        <v>4</v>
      </c>
      <c r="AR86" s="68">
        <v>1</v>
      </c>
      <c r="AS86" s="58">
        <v>0</v>
      </c>
      <c r="AT86" s="58">
        <v>1</v>
      </c>
      <c r="AU86" s="59">
        <v>0</v>
      </c>
      <c r="AV86" s="57">
        <v>360</v>
      </c>
      <c r="AW86" s="58">
        <v>105</v>
      </c>
      <c r="AX86" s="58">
        <v>560</v>
      </c>
      <c r="AY86" s="68">
        <v>1</v>
      </c>
      <c r="AZ86" s="68">
        <v>1</v>
      </c>
      <c r="BA86" s="68">
        <v>1</v>
      </c>
      <c r="BB86" s="58">
        <v>1</v>
      </c>
      <c r="BC86" s="58">
        <v>1</v>
      </c>
      <c r="BD86" s="59">
        <v>1</v>
      </c>
      <c r="BE86" s="57">
        <v>560</v>
      </c>
      <c r="BF86" s="58">
        <v>105</v>
      </c>
      <c r="BG86" s="58">
        <v>360</v>
      </c>
      <c r="BH86" s="68">
        <v>2</v>
      </c>
      <c r="BI86" s="68">
        <v>1</v>
      </c>
      <c r="BJ86" s="68">
        <v>1</v>
      </c>
      <c r="BK86" s="58">
        <v>2</v>
      </c>
      <c r="BL86" s="58">
        <v>1</v>
      </c>
      <c r="BM86" s="59">
        <v>2</v>
      </c>
    </row>
    <row r="87" spans="1:65" x14ac:dyDescent="0.3">
      <c r="A87" s="83">
        <v>10</v>
      </c>
      <c r="B87" s="70">
        <v>14007843</v>
      </c>
      <c r="C87" s="66" t="str">
        <v>DIN_BIN</v>
      </c>
      <c r="D87" s="58">
        <v>225</v>
      </c>
      <c r="E87" s="58">
        <v>70</v>
      </c>
      <c r="F87" s="58">
        <v>310</v>
      </c>
      <c r="G87" s="58">
        <v>192</v>
      </c>
      <c r="H87" s="58">
        <v>3</v>
      </c>
      <c r="I87" s="58">
        <v>576</v>
      </c>
      <c r="J87" s="58">
        <v>6</v>
      </c>
      <c r="K87" s="72" t="str">
        <v>Crate (600 x 400 x 170) mm</v>
      </c>
      <c r="L87" s="57">
        <v>560</v>
      </c>
      <c r="M87" s="58">
        <v>360</v>
      </c>
      <c r="N87" s="58">
        <v>155</v>
      </c>
      <c r="O87" s="68">
        <v>2</v>
      </c>
      <c r="P87" s="68">
        <v>4</v>
      </c>
      <c r="Q87" s="68">
        <v>0</v>
      </c>
      <c r="R87" s="58">
        <v>8</v>
      </c>
      <c r="S87" s="58">
        <v>0</v>
      </c>
      <c r="T87" s="59">
        <v>0</v>
      </c>
      <c r="U87" s="57">
        <v>360</v>
      </c>
      <c r="V87" s="58">
        <v>560</v>
      </c>
      <c r="W87" s="58">
        <v>155</v>
      </c>
      <c r="X87" s="68">
        <v>1</v>
      </c>
      <c r="Y87" s="68">
        <v>7</v>
      </c>
      <c r="Z87" s="68">
        <v>0</v>
      </c>
      <c r="AA87" s="58">
        <v>7</v>
      </c>
      <c r="AB87" s="58">
        <v>0</v>
      </c>
      <c r="AC87" s="59">
        <v>0</v>
      </c>
      <c r="AD87" s="57">
        <v>155</v>
      </c>
      <c r="AE87" s="58">
        <v>560</v>
      </c>
      <c r="AF87" s="58">
        <v>360</v>
      </c>
      <c r="AG87" s="68">
        <v>0</v>
      </c>
      <c r="AH87" s="68">
        <v>7</v>
      </c>
      <c r="AI87" s="68">
        <v>1</v>
      </c>
      <c r="AJ87" s="58">
        <v>0</v>
      </c>
      <c r="AK87" s="58">
        <v>1</v>
      </c>
      <c r="AL87" s="59">
        <v>0</v>
      </c>
      <c r="AM87" s="57">
        <v>155</v>
      </c>
      <c r="AN87" s="58">
        <v>360</v>
      </c>
      <c r="AO87" s="58">
        <v>560</v>
      </c>
      <c r="AP87" s="68">
        <v>0</v>
      </c>
      <c r="AQ87" s="68">
        <v>4</v>
      </c>
      <c r="AR87" s="68">
        <v>1</v>
      </c>
      <c r="AS87" s="58">
        <v>0</v>
      </c>
      <c r="AT87" s="58">
        <v>1</v>
      </c>
      <c r="AU87" s="59">
        <v>0</v>
      </c>
      <c r="AV87" s="57">
        <v>360</v>
      </c>
      <c r="AW87" s="58">
        <v>155</v>
      </c>
      <c r="AX87" s="58">
        <v>560</v>
      </c>
      <c r="AY87" s="68">
        <v>1</v>
      </c>
      <c r="AZ87" s="68">
        <v>2</v>
      </c>
      <c r="BA87" s="68">
        <v>1</v>
      </c>
      <c r="BB87" s="58">
        <v>2</v>
      </c>
      <c r="BC87" s="58">
        <v>1</v>
      </c>
      <c r="BD87" s="59">
        <v>2</v>
      </c>
      <c r="BE87" s="57">
        <v>560</v>
      </c>
      <c r="BF87" s="58">
        <v>155</v>
      </c>
      <c r="BG87" s="58">
        <v>360</v>
      </c>
      <c r="BH87" s="68">
        <v>2</v>
      </c>
      <c r="BI87" s="68">
        <v>2</v>
      </c>
      <c r="BJ87" s="68">
        <v>1</v>
      </c>
      <c r="BK87" s="58">
        <v>4</v>
      </c>
      <c r="BL87" s="58">
        <v>1</v>
      </c>
      <c r="BM87" s="59">
        <v>4</v>
      </c>
    </row>
    <row r="88" spans="1:65" x14ac:dyDescent="0.3">
      <c r="A88" s="83">
        <v>10</v>
      </c>
      <c r="B88" s="70">
        <v>14007843</v>
      </c>
      <c r="C88" s="66" t="str">
        <v>DIN_BIN</v>
      </c>
      <c r="D88" s="58">
        <v>225</v>
      </c>
      <c r="E88" s="58">
        <v>70</v>
      </c>
      <c r="F88" s="58">
        <v>310</v>
      </c>
      <c r="G88" s="58">
        <v>192</v>
      </c>
      <c r="H88" s="58">
        <v>3</v>
      </c>
      <c r="I88" s="58">
        <v>576</v>
      </c>
      <c r="J88" s="58">
        <v>6</v>
      </c>
      <c r="K88" s="72" t="str">
        <v>Crate (600 x 400 x 220) mm</v>
      </c>
      <c r="L88" s="57">
        <v>560</v>
      </c>
      <c r="M88" s="58">
        <v>360</v>
      </c>
      <c r="N88" s="58">
        <v>205</v>
      </c>
      <c r="O88" s="68">
        <v>2</v>
      </c>
      <c r="P88" s="68">
        <v>4</v>
      </c>
      <c r="Q88" s="68">
        <v>0</v>
      </c>
      <c r="R88" s="58">
        <v>8</v>
      </c>
      <c r="S88" s="58">
        <v>0</v>
      </c>
      <c r="T88" s="59">
        <v>0</v>
      </c>
      <c r="U88" s="57">
        <v>360</v>
      </c>
      <c r="V88" s="58">
        <v>560</v>
      </c>
      <c r="W88" s="58">
        <v>205</v>
      </c>
      <c r="X88" s="68">
        <v>1</v>
      </c>
      <c r="Y88" s="68">
        <v>7</v>
      </c>
      <c r="Z88" s="68">
        <v>0</v>
      </c>
      <c r="AA88" s="58">
        <v>7</v>
      </c>
      <c r="AB88" s="58">
        <v>0</v>
      </c>
      <c r="AC88" s="59">
        <v>0</v>
      </c>
      <c r="AD88" s="57">
        <v>205</v>
      </c>
      <c r="AE88" s="58">
        <v>560</v>
      </c>
      <c r="AF88" s="58">
        <v>360</v>
      </c>
      <c r="AG88" s="68">
        <v>0</v>
      </c>
      <c r="AH88" s="68">
        <v>7</v>
      </c>
      <c r="AI88" s="68">
        <v>1</v>
      </c>
      <c r="AJ88" s="58">
        <v>0</v>
      </c>
      <c r="AK88" s="58">
        <v>1</v>
      </c>
      <c r="AL88" s="59">
        <v>0</v>
      </c>
      <c r="AM88" s="57">
        <v>205</v>
      </c>
      <c r="AN88" s="58">
        <v>360</v>
      </c>
      <c r="AO88" s="58">
        <v>560</v>
      </c>
      <c r="AP88" s="68">
        <v>0</v>
      </c>
      <c r="AQ88" s="68">
        <v>4</v>
      </c>
      <c r="AR88" s="68">
        <v>1</v>
      </c>
      <c r="AS88" s="58">
        <v>0</v>
      </c>
      <c r="AT88" s="58">
        <v>1</v>
      </c>
      <c r="AU88" s="59">
        <v>0</v>
      </c>
      <c r="AV88" s="57">
        <v>360</v>
      </c>
      <c r="AW88" s="58">
        <v>205</v>
      </c>
      <c r="AX88" s="58">
        <v>560</v>
      </c>
      <c r="AY88" s="68">
        <v>1</v>
      </c>
      <c r="AZ88" s="68">
        <v>2</v>
      </c>
      <c r="BA88" s="68">
        <v>1</v>
      </c>
      <c r="BB88" s="58">
        <v>2</v>
      </c>
      <c r="BC88" s="58">
        <v>1</v>
      </c>
      <c r="BD88" s="59">
        <v>2</v>
      </c>
      <c r="BE88" s="57">
        <v>560</v>
      </c>
      <c r="BF88" s="58">
        <v>205</v>
      </c>
      <c r="BG88" s="58">
        <v>360</v>
      </c>
      <c r="BH88" s="68">
        <v>2</v>
      </c>
      <c r="BI88" s="68">
        <v>2</v>
      </c>
      <c r="BJ88" s="68">
        <v>1</v>
      </c>
      <c r="BK88" s="58">
        <v>4</v>
      </c>
      <c r="BL88" s="58">
        <v>1</v>
      </c>
      <c r="BM88" s="59">
        <v>4</v>
      </c>
    </row>
    <row r="89" spans="1:65" x14ac:dyDescent="0.3">
      <c r="A89" s="83">
        <v>10</v>
      </c>
      <c r="B89" s="70">
        <v>14007843</v>
      </c>
      <c r="C89" s="66" t="str">
        <v>DIN_BIN</v>
      </c>
      <c r="D89" s="58">
        <v>225</v>
      </c>
      <c r="E89" s="58">
        <v>70</v>
      </c>
      <c r="F89" s="58">
        <v>310</v>
      </c>
      <c r="G89" s="58">
        <v>192</v>
      </c>
      <c r="H89" s="58">
        <v>3</v>
      </c>
      <c r="I89" s="58">
        <v>576</v>
      </c>
      <c r="J89" s="58">
        <v>6</v>
      </c>
      <c r="K89" s="72" t="str">
        <v>Crate (400 x 300 x 120) mm</v>
      </c>
      <c r="L89" s="57">
        <v>360</v>
      </c>
      <c r="M89" s="58">
        <v>260</v>
      </c>
      <c r="N89" s="58">
        <v>105</v>
      </c>
      <c r="O89" s="68">
        <v>1</v>
      </c>
      <c r="P89" s="68">
        <v>3</v>
      </c>
      <c r="Q89" s="68">
        <v>0</v>
      </c>
      <c r="R89" s="58">
        <v>3</v>
      </c>
      <c r="S89" s="58">
        <v>0</v>
      </c>
      <c r="T89" s="59">
        <v>0</v>
      </c>
      <c r="U89" s="57">
        <v>260</v>
      </c>
      <c r="V89" s="58">
        <v>360</v>
      </c>
      <c r="W89" s="58">
        <v>105</v>
      </c>
      <c r="X89" s="68">
        <v>1</v>
      </c>
      <c r="Y89" s="68">
        <v>4</v>
      </c>
      <c r="Z89" s="68">
        <v>0</v>
      </c>
      <c r="AA89" s="58">
        <v>4</v>
      </c>
      <c r="AB89" s="58">
        <v>0</v>
      </c>
      <c r="AC89" s="59">
        <v>0</v>
      </c>
      <c r="AD89" s="57">
        <v>105</v>
      </c>
      <c r="AE89" s="58">
        <v>360</v>
      </c>
      <c r="AF89" s="58">
        <v>260</v>
      </c>
      <c r="AG89" s="68">
        <v>0</v>
      </c>
      <c r="AH89" s="68">
        <v>4</v>
      </c>
      <c r="AI89" s="68">
        <v>0</v>
      </c>
      <c r="AJ89" s="58">
        <v>0</v>
      </c>
      <c r="AK89" s="58">
        <v>0</v>
      </c>
      <c r="AL89" s="59">
        <v>0</v>
      </c>
      <c r="AM89" s="57">
        <v>105</v>
      </c>
      <c r="AN89" s="58">
        <v>260</v>
      </c>
      <c r="AO89" s="58">
        <v>360</v>
      </c>
      <c r="AP89" s="68">
        <v>0</v>
      </c>
      <c r="AQ89" s="68">
        <v>3</v>
      </c>
      <c r="AR89" s="68">
        <v>1</v>
      </c>
      <c r="AS89" s="58">
        <v>0</v>
      </c>
      <c r="AT89" s="58">
        <v>1</v>
      </c>
      <c r="AU89" s="59">
        <v>0</v>
      </c>
      <c r="AV89" s="57">
        <v>260</v>
      </c>
      <c r="AW89" s="58">
        <v>105</v>
      </c>
      <c r="AX89" s="58">
        <v>360</v>
      </c>
      <c r="AY89" s="68">
        <v>1</v>
      </c>
      <c r="AZ89" s="68">
        <v>1</v>
      </c>
      <c r="BA89" s="68">
        <v>1</v>
      </c>
      <c r="BB89" s="58">
        <v>1</v>
      </c>
      <c r="BC89" s="58">
        <v>1</v>
      </c>
      <c r="BD89" s="59">
        <v>1</v>
      </c>
      <c r="BE89" s="57">
        <v>360</v>
      </c>
      <c r="BF89" s="58">
        <v>105</v>
      </c>
      <c r="BG89" s="58">
        <v>260</v>
      </c>
      <c r="BH89" s="68">
        <v>1</v>
      </c>
      <c r="BI89" s="68">
        <v>1</v>
      </c>
      <c r="BJ89" s="68">
        <v>0</v>
      </c>
      <c r="BK89" s="58">
        <v>1</v>
      </c>
      <c r="BL89" s="58">
        <v>0</v>
      </c>
      <c r="BM89" s="59">
        <v>0</v>
      </c>
    </row>
    <row r="90" spans="1:65" x14ac:dyDescent="0.3">
      <c r="A90" s="83">
        <v>10</v>
      </c>
      <c r="B90" s="70">
        <v>14007843</v>
      </c>
      <c r="C90" s="66" t="str">
        <v>DIN_BIN</v>
      </c>
      <c r="D90" s="58">
        <v>225</v>
      </c>
      <c r="E90" s="58">
        <v>70</v>
      </c>
      <c r="F90" s="58">
        <v>310</v>
      </c>
      <c r="G90" s="58">
        <v>192</v>
      </c>
      <c r="H90" s="58">
        <v>3</v>
      </c>
      <c r="I90" s="58">
        <v>576</v>
      </c>
      <c r="J90" s="58">
        <v>6</v>
      </c>
      <c r="K90" s="72" t="str">
        <v>Crate (400 x 300 x 170) mm</v>
      </c>
      <c r="L90" s="57">
        <v>360</v>
      </c>
      <c r="M90" s="58">
        <v>260</v>
      </c>
      <c r="N90" s="58">
        <v>155</v>
      </c>
      <c r="O90" s="68">
        <v>1</v>
      </c>
      <c r="P90" s="68">
        <v>3</v>
      </c>
      <c r="Q90" s="68">
        <v>0</v>
      </c>
      <c r="R90" s="58">
        <v>3</v>
      </c>
      <c r="S90" s="58">
        <v>0</v>
      </c>
      <c r="T90" s="59">
        <v>0</v>
      </c>
      <c r="U90" s="57">
        <v>260</v>
      </c>
      <c r="V90" s="58">
        <v>360</v>
      </c>
      <c r="W90" s="58">
        <v>155</v>
      </c>
      <c r="X90" s="68">
        <v>1</v>
      </c>
      <c r="Y90" s="68">
        <v>4</v>
      </c>
      <c r="Z90" s="68">
        <v>0</v>
      </c>
      <c r="AA90" s="58">
        <v>4</v>
      </c>
      <c r="AB90" s="58">
        <v>0</v>
      </c>
      <c r="AC90" s="59">
        <v>0</v>
      </c>
      <c r="AD90" s="57">
        <v>155</v>
      </c>
      <c r="AE90" s="58">
        <v>360</v>
      </c>
      <c r="AF90" s="58">
        <v>260</v>
      </c>
      <c r="AG90" s="68">
        <v>0</v>
      </c>
      <c r="AH90" s="68">
        <v>4</v>
      </c>
      <c r="AI90" s="68">
        <v>0</v>
      </c>
      <c r="AJ90" s="58">
        <v>0</v>
      </c>
      <c r="AK90" s="58">
        <v>0</v>
      </c>
      <c r="AL90" s="59">
        <v>0</v>
      </c>
      <c r="AM90" s="57">
        <v>155</v>
      </c>
      <c r="AN90" s="58">
        <v>260</v>
      </c>
      <c r="AO90" s="58">
        <v>360</v>
      </c>
      <c r="AP90" s="68">
        <v>0</v>
      </c>
      <c r="AQ90" s="68">
        <v>3</v>
      </c>
      <c r="AR90" s="68">
        <v>1</v>
      </c>
      <c r="AS90" s="58">
        <v>0</v>
      </c>
      <c r="AT90" s="58">
        <v>1</v>
      </c>
      <c r="AU90" s="59">
        <v>0</v>
      </c>
      <c r="AV90" s="57">
        <v>260</v>
      </c>
      <c r="AW90" s="58">
        <v>155</v>
      </c>
      <c r="AX90" s="58">
        <v>360</v>
      </c>
      <c r="AY90" s="68">
        <v>1</v>
      </c>
      <c r="AZ90" s="68">
        <v>2</v>
      </c>
      <c r="BA90" s="68">
        <v>1</v>
      </c>
      <c r="BB90" s="58">
        <v>2</v>
      </c>
      <c r="BC90" s="58">
        <v>1</v>
      </c>
      <c r="BD90" s="59">
        <v>2</v>
      </c>
      <c r="BE90" s="57">
        <v>360</v>
      </c>
      <c r="BF90" s="58">
        <v>155</v>
      </c>
      <c r="BG90" s="58">
        <v>260</v>
      </c>
      <c r="BH90" s="68">
        <v>1</v>
      </c>
      <c r="BI90" s="68">
        <v>2</v>
      </c>
      <c r="BJ90" s="68">
        <v>0</v>
      </c>
      <c r="BK90" s="58">
        <v>2</v>
      </c>
      <c r="BL90" s="58">
        <v>0</v>
      </c>
      <c r="BM90" s="59">
        <v>0</v>
      </c>
    </row>
    <row r="91" spans="1:65" ht="15" thickBot="1" x14ac:dyDescent="0.35">
      <c r="A91" s="85">
        <v>10</v>
      </c>
      <c r="B91" s="81">
        <v>14007843</v>
      </c>
      <c r="C91" s="77" t="str">
        <v>DIN_BIN</v>
      </c>
      <c r="D91" s="64">
        <v>225</v>
      </c>
      <c r="E91" s="64">
        <v>70</v>
      </c>
      <c r="F91" s="64">
        <v>310</v>
      </c>
      <c r="G91" s="64">
        <v>192</v>
      </c>
      <c r="H91" s="64">
        <v>3</v>
      </c>
      <c r="I91" s="64">
        <v>576</v>
      </c>
      <c r="J91" s="64">
        <v>6</v>
      </c>
      <c r="K91" s="78" t="str">
        <v>Crate (400 x 300 x 220) mm</v>
      </c>
      <c r="L91" s="63">
        <v>360</v>
      </c>
      <c r="M91" s="64">
        <v>260</v>
      </c>
      <c r="N91" s="64">
        <v>205</v>
      </c>
      <c r="O91" s="79">
        <v>1</v>
      </c>
      <c r="P91" s="79">
        <v>3</v>
      </c>
      <c r="Q91" s="79">
        <v>0</v>
      </c>
      <c r="R91" s="64">
        <v>3</v>
      </c>
      <c r="S91" s="64">
        <v>0</v>
      </c>
      <c r="T91" s="65">
        <v>0</v>
      </c>
      <c r="U91" s="63">
        <v>260</v>
      </c>
      <c r="V91" s="64">
        <v>360</v>
      </c>
      <c r="W91" s="64">
        <v>205</v>
      </c>
      <c r="X91" s="79">
        <v>1</v>
      </c>
      <c r="Y91" s="79">
        <v>4</v>
      </c>
      <c r="Z91" s="79">
        <v>0</v>
      </c>
      <c r="AA91" s="64">
        <v>4</v>
      </c>
      <c r="AB91" s="64">
        <v>0</v>
      </c>
      <c r="AC91" s="65">
        <v>0</v>
      </c>
      <c r="AD91" s="63">
        <v>205</v>
      </c>
      <c r="AE91" s="64">
        <v>360</v>
      </c>
      <c r="AF91" s="64">
        <v>260</v>
      </c>
      <c r="AG91" s="79">
        <v>0</v>
      </c>
      <c r="AH91" s="79">
        <v>4</v>
      </c>
      <c r="AI91" s="79">
        <v>0</v>
      </c>
      <c r="AJ91" s="64">
        <v>0</v>
      </c>
      <c r="AK91" s="64">
        <v>0</v>
      </c>
      <c r="AL91" s="65">
        <v>0</v>
      </c>
      <c r="AM91" s="63">
        <v>205</v>
      </c>
      <c r="AN91" s="64">
        <v>260</v>
      </c>
      <c r="AO91" s="64">
        <v>360</v>
      </c>
      <c r="AP91" s="79">
        <v>0</v>
      </c>
      <c r="AQ91" s="79">
        <v>3</v>
      </c>
      <c r="AR91" s="79">
        <v>1</v>
      </c>
      <c r="AS91" s="64">
        <v>0</v>
      </c>
      <c r="AT91" s="64">
        <v>1</v>
      </c>
      <c r="AU91" s="65">
        <v>0</v>
      </c>
      <c r="AV91" s="63">
        <v>260</v>
      </c>
      <c r="AW91" s="64">
        <v>205</v>
      </c>
      <c r="AX91" s="64">
        <v>360</v>
      </c>
      <c r="AY91" s="79">
        <v>1</v>
      </c>
      <c r="AZ91" s="79">
        <v>2</v>
      </c>
      <c r="BA91" s="79">
        <v>1</v>
      </c>
      <c r="BB91" s="64">
        <v>2</v>
      </c>
      <c r="BC91" s="64">
        <v>1</v>
      </c>
      <c r="BD91" s="65">
        <v>2</v>
      </c>
      <c r="BE91" s="63">
        <v>360</v>
      </c>
      <c r="BF91" s="64">
        <v>205</v>
      </c>
      <c r="BG91" s="64">
        <v>260</v>
      </c>
      <c r="BH91" s="79">
        <v>1</v>
      </c>
      <c r="BI91" s="79">
        <v>2</v>
      </c>
      <c r="BJ91" s="79">
        <v>0</v>
      </c>
      <c r="BK91" s="64">
        <v>2</v>
      </c>
      <c r="BL91" s="64">
        <v>0</v>
      </c>
      <c r="BM91" s="65">
        <v>0</v>
      </c>
    </row>
  </sheetData>
  <conditionalFormatting sqref="T2:T19">
    <cfRule type="top10" dxfId="67" priority="61" rank="1"/>
  </conditionalFormatting>
  <conditionalFormatting sqref="T2:T10">
    <cfRule type="top10" dxfId="66" priority="60" rank="1"/>
  </conditionalFormatting>
  <conditionalFormatting sqref="T20:T28">
    <cfRule type="top10" dxfId="65" priority="59" rank="1"/>
  </conditionalFormatting>
  <conditionalFormatting sqref="T29:T37">
    <cfRule type="top10" dxfId="64" priority="58" rank="1"/>
  </conditionalFormatting>
  <conditionalFormatting sqref="T38:T46">
    <cfRule type="top10" dxfId="63" priority="57" rank="1"/>
  </conditionalFormatting>
  <conditionalFormatting sqref="T47:T55">
    <cfRule type="top10" dxfId="62" priority="56" rank="1"/>
  </conditionalFormatting>
  <conditionalFormatting sqref="T56:T64">
    <cfRule type="top10" dxfId="61" priority="55" rank="1"/>
  </conditionalFormatting>
  <conditionalFormatting sqref="T65:T73">
    <cfRule type="top10" dxfId="53" priority="53" rank="1"/>
  </conditionalFormatting>
  <conditionalFormatting sqref="T74:T82">
    <cfRule type="top10" dxfId="52" priority="52" rank="1"/>
  </conditionalFormatting>
  <conditionalFormatting sqref="T83:T91">
    <cfRule type="top10" dxfId="50" priority="51" rank="1"/>
  </conditionalFormatting>
  <conditionalFormatting sqref="AC2:AC19">
    <cfRule type="top10" dxfId="49" priority="50" rank="1"/>
  </conditionalFormatting>
  <conditionalFormatting sqref="AC2:AC10">
    <cfRule type="top10" dxfId="48" priority="49" rank="1"/>
  </conditionalFormatting>
  <conditionalFormatting sqref="AC20:AC28">
    <cfRule type="top10" dxfId="47" priority="48" rank="1"/>
  </conditionalFormatting>
  <conditionalFormatting sqref="AC29:AC37">
    <cfRule type="top10" dxfId="46" priority="47" rank="1"/>
  </conditionalFormatting>
  <conditionalFormatting sqref="AC38:AC46">
    <cfRule type="top10" dxfId="45" priority="46" rank="1"/>
  </conditionalFormatting>
  <conditionalFormatting sqref="AC47:AC55">
    <cfRule type="top10" dxfId="44" priority="45" rank="1"/>
  </conditionalFormatting>
  <conditionalFormatting sqref="AC56:AC64">
    <cfRule type="top10" dxfId="43" priority="44" rank="1"/>
  </conditionalFormatting>
  <conditionalFormatting sqref="AC65:AC73">
    <cfRule type="top10" dxfId="42" priority="43" rank="1"/>
  </conditionalFormatting>
  <conditionalFormatting sqref="AC74:AC82">
    <cfRule type="top10" dxfId="41" priority="42" rank="1"/>
  </conditionalFormatting>
  <conditionalFormatting sqref="AC83:AC91">
    <cfRule type="top10" dxfId="40" priority="41" rank="1"/>
  </conditionalFormatting>
  <conditionalFormatting sqref="AL2:AL19">
    <cfRule type="top10" dxfId="39" priority="40" rank="1"/>
  </conditionalFormatting>
  <conditionalFormatting sqref="AL2:AL10">
    <cfRule type="top10" dxfId="38" priority="39" rank="1"/>
  </conditionalFormatting>
  <conditionalFormatting sqref="AL20:AL28">
    <cfRule type="top10" dxfId="37" priority="38" rank="1"/>
  </conditionalFormatting>
  <conditionalFormatting sqref="AL29:AL37">
    <cfRule type="top10" dxfId="36" priority="37" rank="1"/>
  </conditionalFormatting>
  <conditionalFormatting sqref="AL38:AL46">
    <cfRule type="top10" dxfId="35" priority="36" rank="1"/>
  </conditionalFormatting>
  <conditionalFormatting sqref="AL47:AL55">
    <cfRule type="top10" dxfId="34" priority="35" rank="1"/>
  </conditionalFormatting>
  <conditionalFormatting sqref="AL56:AL64">
    <cfRule type="top10" dxfId="33" priority="34" rank="1"/>
  </conditionalFormatting>
  <conditionalFormatting sqref="AL65:AL73">
    <cfRule type="top10" dxfId="32" priority="33" rank="1"/>
  </conditionalFormatting>
  <conditionalFormatting sqref="AL74:AL82">
    <cfRule type="top10" dxfId="31" priority="32" rank="1"/>
  </conditionalFormatting>
  <conditionalFormatting sqref="AL83:AL91">
    <cfRule type="top10" dxfId="30" priority="31" rank="1"/>
  </conditionalFormatting>
  <conditionalFormatting sqref="AU2:AU19">
    <cfRule type="top10" dxfId="29" priority="30" rank="1"/>
  </conditionalFormatting>
  <conditionalFormatting sqref="AU2:AU10">
    <cfRule type="top10" dxfId="28" priority="29" rank="1"/>
  </conditionalFormatting>
  <conditionalFormatting sqref="AU20:AU28">
    <cfRule type="top10" dxfId="27" priority="28" rank="1"/>
  </conditionalFormatting>
  <conditionalFormatting sqref="AU29:AU37">
    <cfRule type="top10" dxfId="26" priority="27" rank="1"/>
  </conditionalFormatting>
  <conditionalFormatting sqref="AU38:AU46">
    <cfRule type="top10" dxfId="25" priority="26" rank="1"/>
  </conditionalFormatting>
  <conditionalFormatting sqref="AU47:AU55">
    <cfRule type="top10" dxfId="24" priority="25" rank="1"/>
  </conditionalFormatting>
  <conditionalFormatting sqref="AU56:AU64">
    <cfRule type="top10" dxfId="23" priority="24" rank="1"/>
  </conditionalFormatting>
  <conditionalFormatting sqref="AU65:AU73">
    <cfRule type="top10" dxfId="22" priority="23" rank="1"/>
  </conditionalFormatting>
  <conditionalFormatting sqref="AU74:AU82">
    <cfRule type="top10" dxfId="21" priority="22" rank="1"/>
  </conditionalFormatting>
  <conditionalFormatting sqref="AU83:AU91">
    <cfRule type="top10" dxfId="20" priority="21" rank="1"/>
  </conditionalFormatting>
  <conditionalFormatting sqref="BD2:BD19">
    <cfRule type="top10" dxfId="19" priority="20" rank="1"/>
  </conditionalFormatting>
  <conditionalFormatting sqref="BD2:BD10">
    <cfRule type="top10" dxfId="18" priority="19" rank="1"/>
  </conditionalFormatting>
  <conditionalFormatting sqref="BD20:BD28">
    <cfRule type="top10" dxfId="17" priority="18" rank="1"/>
  </conditionalFormatting>
  <conditionalFormatting sqref="BD29:BD37">
    <cfRule type="top10" dxfId="16" priority="17" rank="1"/>
  </conditionalFormatting>
  <conditionalFormatting sqref="BD38:BD46">
    <cfRule type="top10" dxfId="15" priority="16" rank="1"/>
  </conditionalFormatting>
  <conditionalFormatting sqref="BD47:BD55">
    <cfRule type="top10" dxfId="14" priority="15" rank="1"/>
  </conditionalFormatting>
  <conditionalFormatting sqref="BD56:BD64">
    <cfRule type="top10" dxfId="13" priority="14" rank="1"/>
  </conditionalFormatting>
  <conditionalFormatting sqref="BD65:BD73">
    <cfRule type="top10" dxfId="12" priority="13" rank="1"/>
  </conditionalFormatting>
  <conditionalFormatting sqref="BD74:BD82">
    <cfRule type="top10" dxfId="11" priority="12" rank="1"/>
  </conditionalFormatting>
  <conditionalFormatting sqref="BD83:BD91">
    <cfRule type="top10" dxfId="10" priority="11" rank="1"/>
  </conditionalFormatting>
  <conditionalFormatting sqref="BM2:BM19">
    <cfRule type="top10" dxfId="9" priority="10" rank="1"/>
  </conditionalFormatting>
  <conditionalFormatting sqref="BM2:BM10">
    <cfRule type="top10" dxfId="8" priority="9" rank="1"/>
  </conditionalFormatting>
  <conditionalFormatting sqref="BM20:BM28">
    <cfRule type="top10" dxfId="7" priority="8" rank="1"/>
  </conditionalFormatting>
  <conditionalFormatting sqref="BM29:BM37">
    <cfRule type="top10" dxfId="6" priority="7" rank="1"/>
  </conditionalFormatting>
  <conditionalFormatting sqref="BM38:BM46">
    <cfRule type="top10" dxfId="5" priority="6" rank="1"/>
  </conditionalFormatting>
  <conditionalFormatting sqref="BM47:BM55">
    <cfRule type="top10" dxfId="4" priority="5" rank="1"/>
  </conditionalFormatting>
  <conditionalFormatting sqref="BM56:BM64">
    <cfRule type="top10" dxfId="3" priority="4" rank="1"/>
  </conditionalFormatting>
  <conditionalFormatting sqref="BM65:BM73">
    <cfRule type="top10" dxfId="2" priority="3" rank="1"/>
  </conditionalFormatting>
  <conditionalFormatting sqref="BM74:BM82">
    <cfRule type="top10" dxfId="1" priority="2" rank="1"/>
  </conditionalFormatting>
  <conditionalFormatting sqref="BM83:BM91">
    <cfRule type="top10" dxfId="0" priority="1" rank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EQP</vt:lpstr>
      <vt:lpstr>RFQ &amp; Orientation</vt:lpstr>
      <vt:lpstr>Summary</vt:lpstr>
      <vt:lpstr>Summary1</vt:lpstr>
      <vt:lpstr>Partwise Orientation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2026-09-21T09:10:27Z</dcterms:created>
  <dcterms:modified xsi:type="dcterms:W3CDTF">2026-09-21T15:24:11Z</dcterms:modified>
</cp:coreProperties>
</file>